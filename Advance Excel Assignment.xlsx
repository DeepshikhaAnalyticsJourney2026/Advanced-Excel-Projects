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Attachments\Desktop\deepshikha excel\"/>
    </mc:Choice>
  </mc:AlternateContent>
  <xr:revisionPtr revIDLastSave="0" documentId="13_ncr:1_{030C7F03-D87C-435D-8695-7FE4053AFE13}" xr6:coauthVersionLast="47" xr6:coauthVersionMax="47" xr10:uidLastSave="{00000000-0000-0000-0000-000000000000}"/>
  <bookViews>
    <workbookView xWindow="-108" yWindow="-108" windowWidth="23256" windowHeight="12456" xr2:uid="{3106A3FA-B771-418C-AF79-0DD777F671A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6" l="1"/>
  <c r="B20" i="6"/>
  <c r="C23" i="5"/>
  <c r="I4" i="11"/>
  <c r="K4" i="11"/>
  <c r="I7" i="11"/>
  <c r="I8" i="11"/>
  <c r="H10" i="11"/>
  <c r="J13" i="11"/>
  <c r="J14" i="11"/>
  <c r="J15" i="11"/>
  <c r="J16" i="11"/>
  <c r="J20" i="11"/>
  <c r="J21" i="11"/>
  <c r="H2" i="10"/>
  <c r="J2" i="10"/>
  <c r="L2" i="10"/>
  <c r="I4" i="10"/>
  <c r="I5" i="10"/>
  <c r="J8" i="10"/>
  <c r="J9" i="10"/>
  <c r="J11" i="10"/>
  <c r="J3" i="9"/>
  <c r="J4" i="9"/>
  <c r="J5" i="9"/>
  <c r="J6" i="9"/>
  <c r="J7" i="9"/>
  <c r="J8" i="9"/>
  <c r="J9" i="9"/>
  <c r="J10" i="9"/>
  <c r="C12" i="9"/>
  <c r="B16" i="9"/>
  <c r="C16" i="9"/>
  <c r="B17" i="9"/>
  <c r="C17" i="9"/>
  <c r="B19" i="8"/>
  <c r="C19" i="8"/>
  <c r="D19" i="8"/>
  <c r="E19" i="8"/>
  <c r="F19" i="8"/>
  <c r="B20" i="8"/>
  <c r="C20" i="8"/>
  <c r="D20" i="8"/>
  <c r="E20" i="8"/>
  <c r="F20" i="8"/>
  <c r="B21" i="8"/>
  <c r="C21" i="8"/>
  <c r="D21" i="8"/>
  <c r="E21" i="8"/>
  <c r="F21" i="8"/>
  <c r="C23" i="8"/>
  <c r="B26" i="8"/>
  <c r="D26" i="8"/>
  <c r="B30" i="8"/>
  <c r="C30" i="8"/>
  <c r="D30" i="8"/>
  <c r="D32" i="8"/>
  <c r="F4" i="7"/>
  <c r="G4" i="7"/>
  <c r="H4" i="7" s="1"/>
  <c r="F5" i="7"/>
  <c r="G5" i="7"/>
  <c r="H5" i="7"/>
  <c r="F6" i="7"/>
  <c r="G6" i="7"/>
  <c r="H6" i="7"/>
  <c r="F7" i="7"/>
  <c r="G7" i="7"/>
  <c r="H7" i="7"/>
  <c r="F8" i="7"/>
  <c r="D19" i="7" s="1"/>
  <c r="G8" i="7"/>
  <c r="H8" i="7" s="1"/>
  <c r="F9" i="7"/>
  <c r="G9" i="7"/>
  <c r="H9" i="7"/>
  <c r="F10" i="7"/>
  <c r="G10" i="7"/>
  <c r="H10" i="7"/>
  <c r="F11" i="7"/>
  <c r="G11" i="7"/>
  <c r="H11" i="7"/>
  <c r="F12" i="7"/>
  <c r="G12" i="7"/>
  <c r="H12" i="7" s="1"/>
  <c r="F13" i="7"/>
  <c r="G13" i="7"/>
  <c r="H13" i="7"/>
  <c r="C14" i="7"/>
  <c r="D18" i="7"/>
  <c r="B15" i="6"/>
  <c r="B16" i="6"/>
  <c r="B17" i="6"/>
  <c r="B22" i="6"/>
  <c r="B23" i="6"/>
  <c r="H3" i="5"/>
  <c r="J3" i="5" s="1"/>
  <c r="H4" i="5"/>
  <c r="J4" i="5" s="1"/>
  <c r="H5" i="5"/>
  <c r="J5" i="5"/>
  <c r="B19" i="5" s="1" a="1"/>
  <c r="B19" i="5" s="1"/>
  <c r="H6" i="5"/>
  <c r="J6" i="5" s="1"/>
  <c r="B20" i="5" s="1" a="1"/>
  <c r="H7" i="5"/>
  <c r="J7" i="5" s="1"/>
  <c r="H8" i="5"/>
  <c r="J8" i="5" s="1"/>
  <c r="B21" i="5" s="1" a="1"/>
  <c r="H9" i="5"/>
  <c r="J9" i="5" s="1"/>
  <c r="C18" i="5" s="1"/>
  <c r="H10" i="5"/>
  <c r="J10" i="5" s="1"/>
  <c r="H11" i="5"/>
  <c r="J11" i="5" s="1"/>
  <c r="H12" i="5"/>
  <c r="J12" i="5" s="1"/>
  <c r="H13" i="5"/>
  <c r="J13" i="5"/>
  <c r="B14" i="5"/>
  <c r="B18" i="5"/>
  <c r="E3" i="4"/>
  <c r="H3" i="4" s="1"/>
  <c r="I3" i="4" s="1"/>
  <c r="F3" i="4"/>
  <c r="G3" i="4"/>
  <c r="E4" i="4"/>
  <c r="F4" i="4"/>
  <c r="G4" i="4"/>
  <c r="H4" i="4"/>
  <c r="I4" i="4"/>
  <c r="E5" i="4"/>
  <c r="H5" i="4" s="1"/>
  <c r="I5" i="4" s="1"/>
  <c r="C20" i="4" s="1"/>
  <c r="F5" i="4"/>
  <c r="G5" i="4"/>
  <c r="E6" i="4"/>
  <c r="F6" i="4"/>
  <c r="G6" i="4"/>
  <c r="H6" i="4"/>
  <c r="I6" i="4"/>
  <c r="E7" i="4"/>
  <c r="F7" i="4"/>
  <c r="G7" i="4"/>
  <c r="H7" i="4"/>
  <c r="I7" i="4" s="1"/>
  <c r="E8" i="4"/>
  <c r="F8" i="4"/>
  <c r="G8" i="4"/>
  <c r="H8" i="4"/>
  <c r="I8" i="4"/>
  <c r="E9" i="4"/>
  <c r="F9" i="4"/>
  <c r="G9" i="4"/>
  <c r="H9" i="4"/>
  <c r="I9" i="4"/>
  <c r="E10" i="4"/>
  <c r="H10" i="4" s="1"/>
  <c r="I10" i="4" s="1"/>
  <c r="F10" i="4"/>
  <c r="G10" i="4"/>
  <c r="B12" i="4"/>
  <c r="B13" i="4"/>
  <c r="B14" i="4"/>
  <c r="D16" i="4"/>
  <c r="B20" i="4"/>
  <c r="B21" i="4"/>
  <c r="C21" i="4"/>
  <c r="B24" i="4"/>
  <c r="B25" i="4"/>
  <c r="E3" i="3"/>
  <c r="F3" i="3"/>
  <c r="G3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B12" i="3"/>
  <c r="E14" i="3"/>
  <c r="B18" i="3"/>
  <c r="C18" i="3"/>
  <c r="B19" i="3"/>
  <c r="C19" i="3"/>
  <c r="B20" i="3"/>
  <c r="C20" i="3"/>
  <c r="B24" i="3" a="1"/>
  <c r="B24" i="3" s="1"/>
  <c r="B25" i="3" a="1"/>
  <c r="B25" i="3" s="1"/>
  <c r="B26" i="3" a="1"/>
  <c r="B26" i="3" s="1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C13" i="2"/>
  <c r="C15" i="2"/>
  <c r="C16" i="2"/>
  <c r="C18" i="2"/>
  <c r="C19" i="2"/>
  <c r="C20" i="2"/>
  <c r="H3" i="1"/>
  <c r="I3" i="1"/>
  <c r="J3" i="1" s="1"/>
  <c r="H4" i="1"/>
  <c r="I4" i="1"/>
  <c r="J4" i="1" s="1"/>
  <c r="H5" i="1"/>
  <c r="I5" i="1"/>
  <c r="J5" i="1" s="1"/>
  <c r="H6" i="1"/>
  <c r="I6" i="1"/>
  <c r="J6" i="1" s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C16" i="1"/>
  <c r="G16" i="1"/>
  <c r="C17" i="1"/>
  <c r="G17" i="1"/>
  <c r="C19" i="1"/>
  <c r="E21" i="1"/>
  <c r="E22" i="1"/>
  <c r="E24" i="1"/>
  <c r="E25" i="1"/>
  <c r="D21" i="7" l="1"/>
  <c r="D22" i="7"/>
  <c r="F16" i="7"/>
  <c r="B20" i="5"/>
  <c r="C20" i="5"/>
  <c r="B21" i="5"/>
  <c r="C21" i="5"/>
  <c r="C19" i="5"/>
  <c r="C26" i="3"/>
  <c r="C25" i="3"/>
  <c r="C24" i="3"/>
  <c r="C13" i="1"/>
  <c r="C14" i="1"/>
</calcChain>
</file>

<file path=xl/sharedStrings.xml><?xml version="1.0" encoding="utf-8"?>
<sst xmlns="http://schemas.openxmlformats.org/spreadsheetml/2006/main" count="581" uniqueCount="282">
  <si>
    <t>ASSIGNMENT-1</t>
  </si>
  <si>
    <t>ROLL. NO</t>
  </si>
  <si>
    <t>STUDENT NAME</t>
  </si>
  <si>
    <t>HINDI</t>
  </si>
  <si>
    <t>ENGLISH</t>
  </si>
  <si>
    <t>MATH</t>
  </si>
  <si>
    <t>PHYSICS</t>
  </si>
  <si>
    <t>CHEMISTRY</t>
  </si>
  <si>
    <t>TOTAL</t>
  </si>
  <si>
    <t>AVERAGE</t>
  </si>
  <si>
    <t>GRADE</t>
  </si>
  <si>
    <t>RAM</t>
  </si>
  <si>
    <t>ASHOK</t>
  </si>
  <si>
    <t>MANOJ</t>
  </si>
  <si>
    <t>RAJESH</t>
  </si>
  <si>
    <t>RANJANA</t>
  </si>
  <si>
    <t>POOJA</t>
  </si>
  <si>
    <t>MAHESH</t>
  </si>
  <si>
    <t>ASHUTOSH</t>
  </si>
  <si>
    <t>ANIL</t>
  </si>
  <si>
    <t>PREM</t>
  </si>
  <si>
    <t>Total Student of Grade "B" :</t>
  </si>
  <si>
    <t>Manoj's Total Number :</t>
  </si>
  <si>
    <t>Ashok's Total Average :</t>
  </si>
  <si>
    <t>Manoj's Total Average :</t>
  </si>
  <si>
    <t>Students who scored less than 15 in Hindi Subject :</t>
  </si>
  <si>
    <t>Students who scored less than 15 in English Subject :</t>
  </si>
  <si>
    <t>ASSIGNMENT-2</t>
  </si>
  <si>
    <t>SR.NO.</t>
  </si>
  <si>
    <t>ITEMS</t>
  </si>
  <si>
    <t>QTY</t>
  </si>
  <si>
    <t>RATE</t>
  </si>
  <si>
    <t>AMOUNT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</si>
  <si>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</si>
  <si>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</si>
  <si>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</si>
  <si>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</si>
  <si>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</si>
  <si>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</si>
  <si>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</si>
  <si>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</si>
  <si>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</si>
  <si>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</si>
  <si>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>Total Items QTY Less Than&lt;20 :</t>
  </si>
  <si>
    <t>Computer Rate :</t>
  </si>
  <si>
    <t>Computer Amount :</t>
  </si>
  <si>
    <t>ASSIGNMENT-3</t>
  </si>
  <si>
    <t>SUBJECT</t>
  </si>
  <si>
    <t>1ST</t>
  </si>
  <si>
    <t>2ND</t>
  </si>
  <si>
    <t>3RD</t>
  </si>
  <si>
    <t>HISTORY</t>
  </si>
  <si>
    <t>GEO</t>
  </si>
  <si>
    <t>BIO</t>
  </si>
  <si>
    <t>BOTNAY</t>
  </si>
  <si>
    <t>Q.1-Total Subject :</t>
  </si>
  <si>
    <t>Q.2-How Many Subject In 1St Paper Greater Than 20 :</t>
  </si>
  <si>
    <t>Q.3-Use of Volookup:</t>
  </si>
  <si>
    <t>ASSIGNMENT-4</t>
  </si>
  <si>
    <t>NAME</t>
  </si>
  <si>
    <t>DEPARTMENT</t>
  </si>
  <si>
    <t>POST</t>
  </si>
  <si>
    <t>BASIC</t>
  </si>
  <si>
    <t>DA 2.5%</t>
  </si>
  <si>
    <t>HRA 3.5%</t>
  </si>
  <si>
    <t>PF 1.5%</t>
  </si>
  <si>
    <t>MANAGER</t>
  </si>
  <si>
    <t>SHYAM</t>
  </si>
  <si>
    <t>SUPERVISOR</t>
  </si>
  <si>
    <t>PION</t>
  </si>
  <si>
    <t>ELECTRICAL</t>
  </si>
  <si>
    <t>GUARD</t>
  </si>
  <si>
    <t>RAHUL</t>
  </si>
  <si>
    <t>CASHIER</t>
  </si>
  <si>
    <t>RAKESH</t>
  </si>
  <si>
    <t>ACCOUNTANT</t>
  </si>
  <si>
    <t>ASHISH</t>
  </si>
  <si>
    <t>FINANCE</t>
  </si>
  <si>
    <t>MANISH</t>
  </si>
  <si>
    <t>Q.1-How many employee in these department:</t>
  </si>
  <si>
    <t>Computer</t>
  </si>
  <si>
    <t>Electrical</t>
  </si>
  <si>
    <t>Finance</t>
  </si>
  <si>
    <t>Q.2-How many basic salary in computer department only:</t>
  </si>
  <si>
    <t>Q.3-Use of Vlookup:</t>
  </si>
  <si>
    <t>ASSIGNMENT-5</t>
  </si>
  <si>
    <t>SALESMAN</t>
  </si>
  <si>
    <t>JAN</t>
  </si>
  <si>
    <t>FEB</t>
  </si>
  <si>
    <t>MAR</t>
  </si>
  <si>
    <t>APR</t>
  </si>
  <si>
    <t>MAY</t>
  </si>
  <si>
    <t>JUN</t>
  </si>
  <si>
    <t>SALES</t>
  </si>
  <si>
    <t>TARGET</t>
  </si>
  <si>
    <t>RESULT</t>
  </si>
  <si>
    <t>RAMESH</t>
  </si>
  <si>
    <t>AJEET</t>
  </si>
  <si>
    <t>ALOK</t>
  </si>
  <si>
    <t>AMRIT</t>
  </si>
  <si>
    <t>SURENDRA</t>
  </si>
  <si>
    <t>SHASHI</t>
  </si>
  <si>
    <t>Q.1-How many Salesman:</t>
  </si>
  <si>
    <t>Q.2-Use of Vlookup:</t>
  </si>
  <si>
    <t>Q.4-How many Salesman achived target :</t>
  </si>
  <si>
    <t>ASSIGNMENT-6</t>
  </si>
  <si>
    <t>DATE</t>
  </si>
  <si>
    <t>COST</t>
  </si>
  <si>
    <t>BRAKES</t>
  </si>
  <si>
    <t>TYRES</t>
  </si>
  <si>
    <t>SERVICE</t>
  </si>
  <si>
    <t>WINDOW</t>
  </si>
  <si>
    <t>CLUTCH</t>
  </si>
  <si>
    <t>How many items cost is below&gt;=1000 :</t>
  </si>
  <si>
    <t>Total cost of brakes:</t>
  </si>
  <si>
    <t>ASSIGNMENT-7</t>
  </si>
  <si>
    <t>MATHS</t>
  </si>
  <si>
    <t>PERCENTAGE</t>
  </si>
  <si>
    <t>ALAN</t>
  </si>
  <si>
    <t>BOB</t>
  </si>
  <si>
    <t>CAROL</t>
  </si>
  <si>
    <t>Absent</t>
  </si>
  <si>
    <t>DAVID</t>
  </si>
  <si>
    <t>ERIC</t>
  </si>
  <si>
    <t>FRED</t>
  </si>
  <si>
    <t>GAIL</t>
  </si>
  <si>
    <t>HARRY</t>
  </si>
  <si>
    <t>IAN</t>
  </si>
  <si>
    <t>JANICE</t>
  </si>
  <si>
    <t>Q.1-Total Student:</t>
  </si>
  <si>
    <t>Q.2-How Many Student Persentage Is Greater Than &gt;50:</t>
  </si>
  <si>
    <t>Q.3-Bob's Total Number :</t>
  </si>
  <si>
    <t>Eric's Total Number :</t>
  </si>
  <si>
    <t>Total Number of Bed:</t>
  </si>
  <si>
    <t>ASSIGNMENT-8</t>
  </si>
  <si>
    <t>EMPLOYEE ID</t>
  </si>
  <si>
    <t>FULL NAME</t>
  </si>
  <si>
    <t>SSN</t>
  </si>
  <si>
    <t>START DATE</t>
  </si>
  <si>
    <t>EARNINGS</t>
  </si>
  <si>
    <t>EMP001</t>
  </si>
  <si>
    <t>Faith K. Macias</t>
  </si>
  <si>
    <t>845-04-3962</t>
  </si>
  <si>
    <t>Marketing</t>
  </si>
  <si>
    <t>EMP002</t>
  </si>
  <si>
    <t>Lucian Q. Franklin</t>
  </si>
  <si>
    <t>345-28-4935</t>
  </si>
  <si>
    <t>It/Is</t>
  </si>
  <si>
    <t>EMP003</t>
  </si>
  <si>
    <t>Blaze V. Bridges</t>
  </si>
  <si>
    <t>503-53-8350</t>
  </si>
  <si>
    <t>EMP004</t>
  </si>
  <si>
    <t>Denton Q. Dale</t>
  </si>
  <si>
    <t>858-39-7967</t>
  </si>
  <si>
    <t>EMP005</t>
  </si>
  <si>
    <t>Blossom K. Fox</t>
  </si>
  <si>
    <t>245-18-5890</t>
  </si>
  <si>
    <t>Engineering</t>
  </si>
  <si>
    <t>EMP006</t>
  </si>
  <si>
    <t>Kerry V. David</t>
  </si>
  <si>
    <t>873-45-8675</t>
  </si>
  <si>
    <t>EMP007</t>
  </si>
  <si>
    <t>Melanie X. Baker</t>
  </si>
  <si>
    <t>190-08-3679</t>
  </si>
  <si>
    <t>EMP008</t>
  </si>
  <si>
    <t>Adele M. Fulton</t>
  </si>
  <si>
    <t>352-36-9553</t>
  </si>
  <si>
    <t>EMP009</t>
  </si>
  <si>
    <t>Justina O. Jensen</t>
  </si>
  <si>
    <t>645-74-0451</t>
  </si>
  <si>
    <t>EMP010</t>
  </si>
  <si>
    <t>Yoshi J. England</t>
  </si>
  <si>
    <t>558-53-1475</t>
  </si>
  <si>
    <t>EMP011</t>
  </si>
  <si>
    <t>Brooke Y. Mccarty</t>
  </si>
  <si>
    <t>129-42-6148</t>
  </si>
  <si>
    <t>EMP012</t>
  </si>
  <si>
    <t>Kay G. Colon</t>
  </si>
  <si>
    <t>796-50-4767</t>
  </si>
  <si>
    <t>EMP013</t>
  </si>
  <si>
    <t>Callie I. Forbes</t>
  </si>
  <si>
    <t>266-48-1339</t>
  </si>
  <si>
    <t>Human Resources</t>
  </si>
  <si>
    <t>EMP014</t>
  </si>
  <si>
    <t>Zachery O. Mann</t>
  </si>
  <si>
    <t>633-00-3285</t>
  </si>
  <si>
    <t>Q.1-How Many Employee in a List ?</t>
  </si>
  <si>
    <t>Q.2-How Many Employee work in Finance and Marketing Department?</t>
  </si>
  <si>
    <t>Finance:-</t>
  </si>
  <si>
    <t>Marketing:-</t>
  </si>
  <si>
    <t/>
  </si>
  <si>
    <t>Q.3-Employee Blossom K. Fox Department and Earnings and SSN No.?</t>
  </si>
  <si>
    <t>ASSIGNMENT-9</t>
  </si>
  <si>
    <t>Product Name</t>
  </si>
  <si>
    <t>Jan</t>
  </si>
  <si>
    <t>Feb</t>
  </si>
  <si>
    <t>Mar</t>
  </si>
  <si>
    <t>Apr</t>
  </si>
  <si>
    <t>May</t>
  </si>
  <si>
    <t>Jun</t>
  </si>
  <si>
    <t>Jul</t>
  </si>
  <si>
    <t>Aug</t>
  </si>
  <si>
    <t>Total Sales</t>
  </si>
  <si>
    <t>Apples</t>
  </si>
  <si>
    <t>Grapefruit</t>
  </si>
  <si>
    <t>Lemons</t>
  </si>
  <si>
    <t>Lime</t>
  </si>
  <si>
    <t>Oranges</t>
  </si>
  <si>
    <t>Peaches</t>
  </si>
  <si>
    <t>Pears</t>
  </si>
  <si>
    <t>Pineapples</t>
  </si>
  <si>
    <t>Q.1 How Many Fruits?</t>
  </si>
  <si>
    <t>Q.2 Fruits Lemons and Pineapples sales in Mar and Jul ?</t>
  </si>
  <si>
    <t>ASSIGNMENT-10</t>
  </si>
  <si>
    <t>Q.1-How Many Spring and Fall Season?</t>
  </si>
  <si>
    <t>SEASON</t>
  </si>
  <si>
    <t>YEAR</t>
  </si>
  <si>
    <t>TYPE</t>
  </si>
  <si>
    <t>STATE</t>
  </si>
  <si>
    <t>Spring:-</t>
  </si>
  <si>
    <t>Fall;-</t>
  </si>
  <si>
    <t>Fall</t>
  </si>
  <si>
    <t>Amber Ale</t>
  </si>
  <si>
    <t>California</t>
  </si>
  <si>
    <t>Q.2-How Many Fall Season in California and Washington?</t>
  </si>
  <si>
    <t>Hefeweizen</t>
  </si>
  <si>
    <t>Fall seasaon in California:-</t>
  </si>
  <si>
    <t>Pale Ale</t>
  </si>
  <si>
    <t>Fall seasaon in Washington:-</t>
  </si>
  <si>
    <t>Pilsner</t>
  </si>
  <si>
    <t>Porter</t>
  </si>
  <si>
    <t>Q.3-Total Sales if Spring Season in Washington and California?</t>
  </si>
  <si>
    <t>Stout</t>
  </si>
  <si>
    <t>Total Sales if Spring Season in Washington:-</t>
  </si>
  <si>
    <t>Oregon</t>
  </si>
  <si>
    <t>Total Sales if Spring Season in California:-</t>
  </si>
  <si>
    <t>Q.4-How Many Spring Season in Washington only?</t>
  </si>
  <si>
    <t>Washington</t>
  </si>
  <si>
    <t>Spring</t>
  </si>
  <si>
    <t>ASSIGNMENT-11</t>
  </si>
  <si>
    <t>ORDER ID</t>
  </si>
  <si>
    <t>PRODUCT</t>
  </si>
  <si>
    <t>CATEGORY</t>
  </si>
  <si>
    <t>COUNTRY</t>
  </si>
  <si>
    <t>Carrots</t>
  </si>
  <si>
    <t>Vegetables</t>
  </si>
  <si>
    <t>United States</t>
  </si>
  <si>
    <t>Q.1 How Many Fruit and Vegetables Items in a List?</t>
  </si>
  <si>
    <t>Broccoli</t>
  </si>
  <si>
    <t>United Kingdom</t>
  </si>
  <si>
    <t>Fruit:</t>
  </si>
  <si>
    <t>Vegetables:</t>
  </si>
  <si>
    <t>Banana</t>
  </si>
  <si>
    <t>Fruit</t>
  </si>
  <si>
    <t>Q.2 Total Apple and Banana Amount?</t>
  </si>
  <si>
    <t>Canada</t>
  </si>
  <si>
    <t>Beans</t>
  </si>
  <si>
    <t>Germany</t>
  </si>
  <si>
    <t>Apple</t>
  </si>
  <si>
    <t>Orange</t>
  </si>
  <si>
    <t>Australia</t>
  </si>
  <si>
    <t>Q.3 How Many Product in a list?</t>
  </si>
  <si>
    <t>New Zealand</t>
  </si>
  <si>
    <t>France</t>
  </si>
  <si>
    <t>Q.4 How Many Apple and Banana Use in Canada &amp; United Kingdom?</t>
  </si>
  <si>
    <t>Q.5 Apple and Banana Sales in United States ?</t>
  </si>
  <si>
    <t>Mango</t>
  </si>
  <si>
    <t>Q.4-How Many Amount Earnings Marketing Department?</t>
  </si>
  <si>
    <t>Q.1- Total Student of Grade "A" :</t>
  </si>
  <si>
    <t>Q.2- Ashok's Total Number :</t>
  </si>
  <si>
    <t>Q.3- Total Student:</t>
  </si>
  <si>
    <t>Q.4-Students who scored greater than 20 in Hindi Subject :</t>
  </si>
  <si>
    <t>Q.5-Students who scored greater than 20 in English Subject :</t>
  </si>
  <si>
    <t>Q.1- Total Items In a List :</t>
  </si>
  <si>
    <t>Q.2- Total Items QTYGreater Than &gt;20 :</t>
  </si>
  <si>
    <t>Q.3- Computer Qty :</t>
  </si>
  <si>
    <t>Q.4-Use of Volookup:</t>
  </si>
  <si>
    <t>Q.4-How many employee is Manager &amp; Guard :</t>
  </si>
  <si>
    <t>Q.1-How many these items bought:</t>
  </si>
  <si>
    <t>Q.2-How many items cost is&gt;1000 :</t>
  </si>
  <si>
    <t>Q.3-Total cost of window :</t>
  </si>
  <si>
    <t>Q.4-Total Number of Good: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</si>
</sst>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9"/>
      <name val="Times New Roman"/>
      <family val="1"/>
    </font>
    <font>
      <b/>
      <sz val="11"/>
      <color indexed="8"/>
      <name val="Times New Roman"/>
      <family val="1"/>
    </font>
    <font>
      <sz val="11"/>
      <color indexed="9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2501A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CAEDFB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47D359"/>
      </top>
      <bottom/>
      <diagonal/>
    </border>
    <border>
      <left/>
      <right style="thin">
        <color rgb="FF47D359"/>
      </right>
      <top style="thin">
        <color rgb="FF47D359"/>
      </top>
      <bottom/>
      <diagonal/>
    </border>
    <border>
      <left style="thin">
        <color auto="1"/>
      </left>
      <right/>
      <top style="thin">
        <color rgb="FF47D35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0" borderId="0" xfId="0" applyFont="1"/>
    <xf numFmtId="0" fontId="3" fillId="6" borderId="11" xfId="0" applyFont="1" applyFill="1" applyBorder="1"/>
    <xf numFmtId="0" fontId="3" fillId="6" borderId="12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8" xfId="0" applyFont="1" applyBorder="1"/>
    <xf numFmtId="0" fontId="3" fillId="0" borderId="10" xfId="0" applyFont="1" applyBorder="1"/>
    <xf numFmtId="0" fontId="5" fillId="0" borderId="10" xfId="0" applyFont="1" applyBorder="1" applyAlignment="1">
      <alignment horizontal="left"/>
    </xf>
    <xf numFmtId="0" fontId="3" fillId="0" borderId="9" xfId="0" applyFont="1" applyBorder="1"/>
    <xf numFmtId="0" fontId="1" fillId="0" borderId="7" xfId="0" applyFont="1" applyBorder="1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13" xfId="0" applyFont="1" applyBorder="1"/>
    <xf numFmtId="0" fontId="3" fillId="0" borderId="7" xfId="0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14" xfId="0" applyFont="1" applyBorder="1"/>
    <xf numFmtId="0" fontId="3" fillId="0" borderId="15" xfId="0" applyFont="1" applyBorder="1"/>
    <xf numFmtId="0" fontId="5" fillId="0" borderId="15" xfId="0" applyFont="1" applyBorder="1" applyAlignment="1">
      <alignment horizontal="left"/>
    </xf>
    <xf numFmtId="0" fontId="3" fillId="0" borderId="16" xfId="0" applyFont="1" applyBorder="1"/>
    <xf numFmtId="0" fontId="4" fillId="5" borderId="17" xfId="0" applyFont="1" applyFill="1" applyBorder="1"/>
    <xf numFmtId="0" fontId="4" fillId="5" borderId="11" xfId="0" applyFont="1" applyFill="1" applyBorder="1"/>
    <xf numFmtId="0" fontId="3" fillId="6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0" fontId="4" fillId="5" borderId="21" xfId="0" applyFont="1" applyFill="1" applyBorder="1"/>
    <xf numFmtId="0" fontId="4" fillId="5" borderId="21" xfId="0" applyFont="1" applyFill="1" applyBorder="1" applyAlignment="1">
      <alignment horizontal="center"/>
    </xf>
    <xf numFmtId="0" fontId="3" fillId="6" borderId="21" xfId="0" applyFont="1" applyFill="1" applyBorder="1"/>
    <xf numFmtId="0" fontId="3" fillId="6" borderId="21" xfId="0" applyFont="1" applyFill="1" applyBorder="1" applyAlignment="1">
      <alignment horizontal="center"/>
    </xf>
    <xf numFmtId="0" fontId="3" fillId="0" borderId="21" xfId="0" applyFont="1" applyBorder="1"/>
    <xf numFmtId="0" fontId="3" fillId="0" borderId="21" xfId="0" applyFont="1" applyBorder="1" applyAlignment="1">
      <alignment horizontal="center"/>
    </xf>
    <xf numFmtId="0" fontId="3" fillId="6" borderId="6" xfId="0" applyFont="1" applyFill="1" applyBorder="1"/>
    <xf numFmtId="0" fontId="3" fillId="6" borderId="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5" borderId="7" xfId="0" applyFont="1" applyFill="1" applyBorder="1"/>
    <xf numFmtId="0" fontId="4" fillId="5" borderId="0" xfId="0" applyFont="1" applyFill="1"/>
    <xf numFmtId="0" fontId="5" fillId="0" borderId="7" xfId="0" applyFont="1" applyBorder="1"/>
    <xf numFmtId="0" fontId="5" fillId="0" borderId="0" xfId="0" applyFont="1" applyAlignment="1">
      <alignment horizontal="center"/>
    </xf>
    <xf numFmtId="0" fontId="5" fillId="0" borderId="15" xfId="0" applyFont="1" applyBorder="1"/>
    <xf numFmtId="0" fontId="4" fillId="7" borderId="25" xfId="0" applyFont="1" applyFill="1" applyBorder="1"/>
    <xf numFmtId="0" fontId="4" fillId="7" borderId="26" xfId="0" applyFont="1" applyFill="1" applyBorder="1"/>
    <xf numFmtId="0" fontId="4" fillId="7" borderId="27" xfId="0" applyFont="1" applyFill="1" applyBorder="1"/>
    <xf numFmtId="0" fontId="4" fillId="9" borderId="28" xfId="0" applyFont="1" applyFill="1" applyBorder="1"/>
    <xf numFmtId="0" fontId="4" fillId="9" borderId="21" xfId="0" applyFont="1" applyFill="1" applyBorder="1" applyAlignment="1">
      <alignment horizontal="center"/>
    </xf>
    <xf numFmtId="14" fontId="3" fillId="0" borderId="21" xfId="0" applyNumberFormat="1" applyFont="1" applyBorder="1"/>
    <xf numFmtId="14" fontId="3" fillId="0" borderId="0" xfId="0" applyNumberFormat="1" applyFont="1"/>
    <xf numFmtId="0" fontId="5" fillId="0" borderId="13" xfId="0" applyFont="1" applyBorder="1" applyAlignment="1">
      <alignment horizontal="left"/>
    </xf>
    <xf numFmtId="2" fontId="3" fillId="0" borderId="21" xfId="0" applyNumberFormat="1" applyFont="1" applyBorder="1" applyAlignment="1">
      <alignment horizontal="center"/>
    </xf>
    <xf numFmtId="0" fontId="6" fillId="11" borderId="21" xfId="0" applyFont="1" applyFill="1" applyBorder="1" applyAlignment="1">
      <alignment horizontal="center"/>
    </xf>
    <xf numFmtId="14" fontId="6" fillId="11" borderId="21" xfId="0" applyNumberFormat="1" applyFont="1" applyFill="1" applyBorder="1" applyAlignment="1">
      <alignment horizontal="center"/>
    </xf>
    <xf numFmtId="164" fontId="6" fillId="11" borderId="21" xfId="0" applyNumberFormat="1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14" fontId="6" fillId="7" borderId="21" xfId="0" applyNumberFormat="1" applyFont="1" applyFill="1" applyBorder="1" applyAlignment="1">
      <alignment horizontal="center"/>
    </xf>
    <xf numFmtId="164" fontId="6" fillId="7" borderId="21" xfId="0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4" fillId="11" borderId="21" xfId="0" applyFont="1" applyFill="1" applyBorder="1" applyAlignment="1">
      <alignment horizontal="center"/>
    </xf>
    <xf numFmtId="0" fontId="4" fillId="12" borderId="21" xfId="0" applyFont="1" applyFill="1" applyBorder="1"/>
    <xf numFmtId="0" fontId="3" fillId="10" borderId="21" xfId="0" applyFont="1" applyFill="1" applyBorder="1"/>
    <xf numFmtId="1" fontId="3" fillId="10" borderId="21" xfId="0" applyNumberFormat="1" applyFont="1" applyFill="1" applyBorder="1"/>
    <xf numFmtId="3" fontId="3" fillId="10" borderId="21" xfId="0" applyNumberFormat="1" applyFont="1" applyFill="1" applyBorder="1"/>
    <xf numFmtId="1" fontId="3" fillId="0" borderId="21" xfId="0" applyNumberFormat="1" applyFont="1" applyBorder="1"/>
    <xf numFmtId="3" fontId="3" fillId="0" borderId="21" xfId="0" applyNumberFormat="1" applyFont="1" applyBorder="1"/>
    <xf numFmtId="0" fontId="4" fillId="12" borderId="30" xfId="0" applyFont="1" applyFill="1" applyBorder="1"/>
    <xf numFmtId="0" fontId="4" fillId="12" borderId="31" xfId="0" applyFont="1" applyFill="1" applyBorder="1"/>
    <xf numFmtId="0" fontId="4" fillId="12" borderId="32" xfId="0" applyFont="1" applyFill="1" applyBorder="1"/>
    <xf numFmtId="0" fontId="3" fillId="10" borderId="7" xfId="0" applyFont="1" applyFill="1" applyBorder="1"/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5" fillId="3" borderId="21" xfId="0" applyFont="1" applyFill="1" applyBorder="1"/>
    <xf numFmtId="0" fontId="3" fillId="13" borderId="21" xfId="0" applyFont="1" applyFill="1" applyBorder="1"/>
    <xf numFmtId="0" fontId="3" fillId="13" borderId="21" xfId="0" applyFont="1" applyFill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3" fontId="3" fillId="13" borderId="3" xfId="0" applyNumberFormat="1" applyFont="1" applyFill="1" applyBorder="1" applyAlignment="1">
      <alignment horizontal="center" vertical="center"/>
    </xf>
    <xf numFmtId="14" fontId="3" fillId="13" borderId="3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4" fillId="4" borderId="3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4" xfId="0" applyFont="1" applyBorder="1"/>
    <xf numFmtId="0" fontId="5" fillId="0" borderId="1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3" fillId="0" borderId="0" xfId="0" applyFont="1" applyBorder="1"/>
    <xf numFmtId="0" fontId="3" fillId="6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0" xfId="0" applyBorder="1"/>
    <xf numFmtId="0" fontId="4" fillId="2" borderId="21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9" borderId="28" xfId="0" applyFont="1" applyFill="1" applyBorder="1" applyAlignment="1">
      <alignment horizontal="center"/>
    </xf>
    <xf numFmtId="0" fontId="3" fillId="10" borderId="28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10" borderId="29" xfId="0" applyFont="1" applyFill="1" applyBorder="1" applyAlignment="1">
      <alignment horizontal="center"/>
    </xf>
    <xf numFmtId="0" fontId="4" fillId="9" borderId="36" xfId="0" applyFont="1" applyFill="1" applyBorder="1"/>
    <xf numFmtId="0" fontId="4" fillId="9" borderId="37" xfId="0" applyFont="1" applyFill="1" applyBorder="1"/>
    <xf numFmtId="0" fontId="3" fillId="10" borderId="36" xfId="0" applyFont="1" applyFill="1" applyBorder="1"/>
    <xf numFmtId="0" fontId="3" fillId="10" borderId="37" xfId="0" applyFont="1" applyFill="1" applyBorder="1" applyAlignment="1">
      <alignment horizontal="right"/>
    </xf>
    <xf numFmtId="0" fontId="3" fillId="0" borderId="36" xfId="0" applyFont="1" applyBorder="1"/>
    <xf numFmtId="0" fontId="3" fillId="0" borderId="37" xfId="0" applyFont="1" applyBorder="1" applyAlignment="1">
      <alignment horizontal="right"/>
    </xf>
    <xf numFmtId="0" fontId="3" fillId="10" borderId="38" xfId="0" applyFont="1" applyFill="1" applyBorder="1"/>
    <xf numFmtId="0" fontId="3" fillId="10" borderId="39" xfId="0" applyFont="1" applyFill="1" applyBorder="1" applyAlignment="1">
      <alignment horizontal="right"/>
    </xf>
    <xf numFmtId="0" fontId="4" fillId="9" borderId="0" xfId="0" applyFont="1" applyFill="1" applyBorder="1"/>
    <xf numFmtId="0" fontId="4" fillId="0" borderId="0" xfId="0" applyFont="1" applyBorder="1"/>
    <xf numFmtId="0" fontId="5" fillId="0" borderId="36" xfId="0" applyFont="1" applyBorder="1"/>
    <xf numFmtId="0" fontId="5" fillId="0" borderId="0" xfId="0" applyFont="1" applyBorder="1"/>
    <xf numFmtId="0" fontId="4" fillId="7" borderId="21" xfId="0" applyFont="1" applyFill="1" applyBorder="1"/>
    <xf numFmtId="0" fontId="4" fillId="7" borderId="21" xfId="0" applyFont="1" applyFill="1" applyBorder="1" applyAlignment="1">
      <alignment horizontal="center"/>
    </xf>
    <xf numFmtId="0" fontId="3" fillId="8" borderId="21" xfId="0" applyFont="1" applyFill="1" applyBorder="1"/>
    <xf numFmtId="0" fontId="3" fillId="8" borderId="21" xfId="0" applyFont="1" applyFill="1" applyBorder="1" applyAlignment="1">
      <alignment horizontal="center"/>
    </xf>
    <xf numFmtId="0" fontId="3" fillId="0" borderId="23" xfId="0" applyFont="1" applyBorder="1"/>
    <xf numFmtId="0" fontId="3" fillId="0" borderId="22" xfId="0" applyFont="1" applyBorder="1"/>
    <xf numFmtId="0" fontId="4" fillId="9" borderId="16" xfId="0" applyFont="1" applyFill="1" applyBorder="1" applyAlignment="1">
      <alignment horizontal="center"/>
    </xf>
    <xf numFmtId="0" fontId="4" fillId="9" borderId="40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14" fontId="3" fillId="0" borderId="6" xfId="0" applyNumberFormat="1" applyFont="1" applyBorder="1"/>
  </cellXfs>
  <cellStyles count="1">
    <cellStyle name="Normal" xfId="0" builtinId="0"/>
  </cellStyles>
  <dxfs count="28">
    <dxf>
      <font>
        <color rgb="FFFF0000"/>
      </font>
    </dxf>
    <dxf>
      <font>
        <color theme="7" tint="-0.24994659260841701"/>
      </font>
    </dxf>
    <dxf>
      <font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Times New Roman"/>
        <family val="1"/>
        <scheme val="none"/>
      </font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8FABA-3788-474E-8EF8-AAF503FEDB92}" name="Table1" displayName="Table1" ref="A2:C14" totalsRowShown="0" headerRowDxfId="10" headerRowBorderDxfId="15" tableBorderDxfId="16" totalsRowBorderDxfId="14">
  <tableColumns count="3">
    <tableColumn id="1" xr3:uid="{387C78A4-0C55-46EC-8C9D-4353A609A236}" name="ITEMS" dataDxfId="13"/>
    <tableColumn id="2" xr3:uid="{4EFCF9F5-6415-4FED-BC0A-E7857D59AB7B}" name="DATE" dataDxfId="12"/>
    <tableColumn id="3" xr3:uid="{1CFF8B1B-9ECC-4208-847C-17DCAAB03AA8}" name="COST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75E0-0D74-40CB-8F44-DDD806F31B2E}">
  <dimension ref="A1:N25"/>
  <sheetViews>
    <sheetView tabSelected="1" zoomScale="67" workbookViewId="0">
      <selection activeCell="O17" sqref="O17"/>
    </sheetView>
  </sheetViews>
  <sheetFormatPr defaultRowHeight="14.4" x14ac:dyDescent="0.3"/>
  <cols>
    <col min="1" max="1" width="11.77734375" customWidth="1"/>
    <col min="2" max="2" width="18.33203125" customWidth="1"/>
    <col min="3" max="3" width="17.44140625" bestFit="1" customWidth="1"/>
    <col min="4" max="4" width="10.33203125" customWidth="1"/>
    <col min="5" max="5" width="13" bestFit="1" customWidth="1"/>
    <col min="6" max="6" width="11.5546875" customWidth="1"/>
    <col min="7" max="7" width="14.33203125" customWidth="1"/>
    <col min="9" max="9" width="14.109375" customWidth="1"/>
  </cols>
  <sheetData>
    <row r="1" spans="1:14" x14ac:dyDescent="0.3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4" x14ac:dyDescent="0.3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29" t="s">
        <v>7</v>
      </c>
      <c r="H2" s="29" t="s">
        <v>8</v>
      </c>
      <c r="I2" s="29" t="s">
        <v>9</v>
      </c>
      <c r="J2" s="29" t="s">
        <v>10</v>
      </c>
    </row>
    <row r="3" spans="1:14" x14ac:dyDescent="0.3">
      <c r="A3" s="128">
        <v>1</v>
      </c>
      <c r="B3" s="128" t="s">
        <v>11</v>
      </c>
      <c r="C3" s="128">
        <v>20</v>
      </c>
      <c r="D3" s="128">
        <v>10</v>
      </c>
      <c r="E3" s="128">
        <v>14</v>
      </c>
      <c r="F3" s="128">
        <v>18</v>
      </c>
      <c r="G3" s="128">
        <v>15</v>
      </c>
      <c r="H3" s="31">
        <f t="shared" ref="H3:H12" si="0">SUM(C3:G3)</f>
        <v>77</v>
      </c>
      <c r="I3" s="31">
        <f t="shared" ref="I3:I12" si="1">AVERAGE(C3:G3)</f>
        <v>15.4</v>
      </c>
      <c r="J3" s="31" t="str">
        <f t="shared" ref="J3:J12" si="2">IF(I3&gt;15,"A","B")</f>
        <v>A</v>
      </c>
    </row>
    <row r="4" spans="1:14" x14ac:dyDescent="0.3">
      <c r="A4" s="129">
        <v>2</v>
      </c>
      <c r="B4" s="129" t="s">
        <v>12</v>
      </c>
      <c r="C4" s="129">
        <v>21</v>
      </c>
      <c r="D4" s="129">
        <v>12</v>
      </c>
      <c r="E4" s="129">
        <v>14</v>
      </c>
      <c r="F4" s="129">
        <v>12</v>
      </c>
      <c r="G4" s="129">
        <v>18</v>
      </c>
      <c r="H4" s="33">
        <f t="shared" si="0"/>
        <v>77</v>
      </c>
      <c r="I4" s="33">
        <f t="shared" si="1"/>
        <v>15.4</v>
      </c>
      <c r="J4" s="33" t="str">
        <f t="shared" si="2"/>
        <v>A</v>
      </c>
    </row>
    <row r="5" spans="1:14" x14ac:dyDescent="0.3">
      <c r="A5" s="128">
        <v>3</v>
      </c>
      <c r="B5" s="128" t="s">
        <v>13</v>
      </c>
      <c r="C5" s="128">
        <v>33</v>
      </c>
      <c r="D5" s="128">
        <v>15</v>
      </c>
      <c r="E5" s="128">
        <v>7</v>
      </c>
      <c r="F5" s="128">
        <v>14</v>
      </c>
      <c r="G5" s="128">
        <v>17</v>
      </c>
      <c r="H5" s="31">
        <f t="shared" si="0"/>
        <v>86</v>
      </c>
      <c r="I5" s="31">
        <f t="shared" si="1"/>
        <v>17.2</v>
      </c>
      <c r="J5" s="31" t="str">
        <f t="shared" si="2"/>
        <v>A</v>
      </c>
    </row>
    <row r="6" spans="1:14" x14ac:dyDescent="0.3">
      <c r="A6" s="129">
        <v>4</v>
      </c>
      <c r="B6" s="129" t="s">
        <v>14</v>
      </c>
      <c r="C6" s="129">
        <v>15</v>
      </c>
      <c r="D6" s="129">
        <v>14</v>
      </c>
      <c r="E6" s="129">
        <v>8</v>
      </c>
      <c r="F6" s="129">
        <v>16</v>
      </c>
      <c r="G6" s="129">
        <v>20</v>
      </c>
      <c r="H6" s="33">
        <f t="shared" si="0"/>
        <v>73</v>
      </c>
      <c r="I6" s="33">
        <f t="shared" si="1"/>
        <v>14.6</v>
      </c>
      <c r="J6" s="33" t="str">
        <f t="shared" si="2"/>
        <v>B</v>
      </c>
    </row>
    <row r="7" spans="1:14" x14ac:dyDescent="0.3">
      <c r="A7" s="130">
        <v>5</v>
      </c>
      <c r="B7" s="128" t="s">
        <v>15</v>
      </c>
      <c r="C7" s="128">
        <v>14</v>
      </c>
      <c r="D7" s="128">
        <v>17</v>
      </c>
      <c r="E7" s="128">
        <v>10</v>
      </c>
      <c r="F7" s="128">
        <v>13</v>
      </c>
      <c r="G7" s="128">
        <v>18</v>
      </c>
      <c r="H7" s="31">
        <f t="shared" si="0"/>
        <v>72</v>
      </c>
      <c r="I7" s="31">
        <f t="shared" si="1"/>
        <v>14.4</v>
      </c>
      <c r="J7" s="31" t="str">
        <f t="shared" si="2"/>
        <v>B</v>
      </c>
    </row>
    <row r="8" spans="1:14" x14ac:dyDescent="0.3">
      <c r="A8" s="129">
        <v>6</v>
      </c>
      <c r="B8" s="129" t="s">
        <v>16</v>
      </c>
      <c r="C8" s="129">
        <v>16</v>
      </c>
      <c r="D8" s="129">
        <v>8</v>
      </c>
      <c r="E8" s="129">
        <v>20</v>
      </c>
      <c r="F8" s="129">
        <v>17</v>
      </c>
      <c r="G8" s="129">
        <v>15</v>
      </c>
      <c r="H8" s="33">
        <f t="shared" si="0"/>
        <v>76</v>
      </c>
      <c r="I8" s="33">
        <f t="shared" si="1"/>
        <v>15.2</v>
      </c>
      <c r="J8" s="33" t="str">
        <f t="shared" si="2"/>
        <v>A</v>
      </c>
    </row>
    <row r="9" spans="1:14" x14ac:dyDescent="0.3">
      <c r="A9" s="130">
        <v>7</v>
      </c>
      <c r="B9" s="128" t="s">
        <v>17</v>
      </c>
      <c r="C9" s="128">
        <v>18</v>
      </c>
      <c r="D9" s="128">
        <v>19</v>
      </c>
      <c r="E9" s="128">
        <v>3</v>
      </c>
      <c r="F9" s="128">
        <v>10</v>
      </c>
      <c r="G9" s="128">
        <v>14</v>
      </c>
      <c r="H9" s="31">
        <f t="shared" si="0"/>
        <v>64</v>
      </c>
      <c r="I9" s="31">
        <f t="shared" si="1"/>
        <v>12.8</v>
      </c>
      <c r="J9" s="31" t="str">
        <f t="shared" si="2"/>
        <v>B</v>
      </c>
      <c r="N9" s="126"/>
    </row>
    <row r="10" spans="1:14" x14ac:dyDescent="0.3">
      <c r="A10" s="129">
        <v>8</v>
      </c>
      <c r="B10" s="129" t="s">
        <v>18</v>
      </c>
      <c r="C10" s="129">
        <v>19</v>
      </c>
      <c r="D10" s="129">
        <v>20</v>
      </c>
      <c r="E10" s="129">
        <v>7</v>
      </c>
      <c r="F10" s="129">
        <v>14</v>
      </c>
      <c r="G10" s="129">
        <v>18</v>
      </c>
      <c r="H10" s="33">
        <f t="shared" si="0"/>
        <v>78</v>
      </c>
      <c r="I10" s="33">
        <f t="shared" si="1"/>
        <v>15.6</v>
      </c>
      <c r="J10" s="129" t="str">
        <f t="shared" si="2"/>
        <v>A</v>
      </c>
    </row>
    <row r="11" spans="1:14" x14ac:dyDescent="0.3">
      <c r="A11" s="128">
        <v>9</v>
      </c>
      <c r="B11" s="128" t="s">
        <v>19</v>
      </c>
      <c r="C11" s="128">
        <v>22</v>
      </c>
      <c r="D11" s="128">
        <v>13</v>
      </c>
      <c r="E11" s="128">
        <v>8</v>
      </c>
      <c r="F11" s="128">
        <v>12</v>
      </c>
      <c r="G11" s="128">
        <v>19</v>
      </c>
      <c r="H11" s="31">
        <f t="shared" si="0"/>
        <v>74</v>
      </c>
      <c r="I11" s="31">
        <f t="shared" si="1"/>
        <v>14.8</v>
      </c>
      <c r="J11" s="128" t="str">
        <f t="shared" si="2"/>
        <v>B</v>
      </c>
    </row>
    <row r="12" spans="1:14" x14ac:dyDescent="0.3">
      <c r="A12" s="131">
        <v>10</v>
      </c>
      <c r="B12" s="129" t="s">
        <v>20</v>
      </c>
      <c r="C12" s="129">
        <v>26</v>
      </c>
      <c r="D12" s="129">
        <v>12</v>
      </c>
      <c r="E12" s="129">
        <v>10</v>
      </c>
      <c r="F12" s="129">
        <v>11</v>
      </c>
      <c r="G12" s="129">
        <v>27</v>
      </c>
      <c r="H12" s="33">
        <f t="shared" si="0"/>
        <v>86</v>
      </c>
      <c r="I12" s="33">
        <f t="shared" si="1"/>
        <v>17.2</v>
      </c>
      <c r="J12" s="33" t="str">
        <f t="shared" si="2"/>
        <v>A</v>
      </c>
    </row>
    <row r="13" spans="1:14" x14ac:dyDescent="0.3">
      <c r="A13" s="15" t="s">
        <v>268</v>
      </c>
      <c r="B13" s="123"/>
      <c r="C13" s="122">
        <f>COUNTIF(J3:J12,"A")</f>
        <v>6</v>
      </c>
      <c r="D13" s="123"/>
      <c r="E13" s="123"/>
      <c r="F13" s="123"/>
      <c r="G13" s="123"/>
      <c r="H13" s="123"/>
      <c r="I13" s="123"/>
      <c r="J13" s="14"/>
    </row>
    <row r="14" spans="1:14" x14ac:dyDescent="0.3">
      <c r="A14" s="10" t="s">
        <v>21</v>
      </c>
      <c r="B14" s="11"/>
      <c r="C14" s="12">
        <f>COUNTIF(J3:J12,"B")</f>
        <v>4</v>
      </c>
      <c r="D14" s="11"/>
      <c r="E14" s="11"/>
      <c r="F14" s="13"/>
      <c r="G14" s="11"/>
      <c r="H14" s="1"/>
      <c r="I14" s="1"/>
      <c r="J14" s="14"/>
    </row>
    <row r="15" spans="1:14" x14ac:dyDescent="0.3">
      <c r="A15" s="15"/>
      <c r="B15" s="1"/>
      <c r="C15" s="16"/>
      <c r="D15" s="1"/>
      <c r="E15" s="1"/>
      <c r="F15" s="1"/>
      <c r="G15" s="1"/>
      <c r="H15" s="1"/>
      <c r="I15" s="1"/>
      <c r="J15" s="14"/>
    </row>
    <row r="16" spans="1:14" x14ac:dyDescent="0.3">
      <c r="A16" s="15" t="s">
        <v>269</v>
      </c>
      <c r="B16" s="1"/>
      <c r="C16" s="16">
        <f>SUMIF(B3:B12,"ASHOK",H3:H12)</f>
        <v>77</v>
      </c>
      <c r="D16" s="1"/>
      <c r="E16" s="1" t="s">
        <v>22</v>
      </c>
      <c r="F16" s="1"/>
      <c r="G16" s="16">
        <f>SUMIF(B3:B12,"MANOJ",H3:H12)</f>
        <v>86</v>
      </c>
      <c r="H16" s="1"/>
      <c r="I16" s="1"/>
      <c r="J16" s="14"/>
    </row>
    <row r="17" spans="1:10" x14ac:dyDescent="0.3">
      <c r="A17" s="15" t="s">
        <v>23</v>
      </c>
      <c r="B17" s="1"/>
      <c r="C17" s="16">
        <f>SUMIF(B3:B12,"ASHOK",I3:I12)</f>
        <v>15.4</v>
      </c>
      <c r="D17" s="1"/>
      <c r="E17" s="1" t="s">
        <v>24</v>
      </c>
      <c r="F17" s="1"/>
      <c r="G17" s="16">
        <f>SUMIF(B3:B12,"MANOJ",I3:I12)</f>
        <v>17.2</v>
      </c>
      <c r="H17" s="1"/>
      <c r="I17" s="1"/>
      <c r="J17" s="14"/>
    </row>
    <row r="18" spans="1:10" x14ac:dyDescent="0.3">
      <c r="A18" s="15"/>
      <c r="B18" s="1"/>
      <c r="C18" s="16"/>
      <c r="D18" s="1"/>
      <c r="E18" s="1"/>
      <c r="F18" s="1"/>
      <c r="G18" s="17"/>
      <c r="H18" s="1"/>
      <c r="I18" s="1"/>
      <c r="J18" s="14"/>
    </row>
    <row r="19" spans="1:10" x14ac:dyDescent="0.3">
      <c r="A19" s="15" t="s">
        <v>270</v>
      </c>
      <c r="B19" s="1"/>
      <c r="C19" s="16">
        <f>COUNTA(B3:B12)</f>
        <v>10</v>
      </c>
      <c r="D19" s="1"/>
      <c r="E19" s="1"/>
      <c r="F19" s="1"/>
      <c r="G19" s="1"/>
      <c r="H19" s="1"/>
      <c r="I19" s="1"/>
      <c r="J19" s="14"/>
    </row>
    <row r="20" spans="1:10" x14ac:dyDescent="0.3">
      <c r="A20" s="15"/>
      <c r="B20" s="1"/>
      <c r="C20" s="1"/>
      <c r="D20" s="1"/>
      <c r="E20" s="1"/>
      <c r="F20" s="1"/>
      <c r="G20" s="1"/>
      <c r="H20" s="1"/>
      <c r="I20" s="1"/>
      <c r="J20" s="14"/>
    </row>
    <row r="21" spans="1:10" x14ac:dyDescent="0.3">
      <c r="A21" s="15" t="s">
        <v>271</v>
      </c>
      <c r="B21" s="1"/>
      <c r="C21" s="1"/>
      <c r="D21" s="1"/>
      <c r="E21" s="16">
        <f>COUNTIF(C3:C12,"&gt;20")</f>
        <v>4</v>
      </c>
      <c r="F21" s="1"/>
      <c r="G21" s="1"/>
      <c r="H21" s="1"/>
      <c r="I21" s="1"/>
      <c r="J21" s="14"/>
    </row>
    <row r="22" spans="1:10" x14ac:dyDescent="0.3">
      <c r="A22" s="15" t="s">
        <v>25</v>
      </c>
      <c r="B22" s="1"/>
      <c r="C22" s="1"/>
      <c r="D22" s="1"/>
      <c r="E22" s="16">
        <f>COUNTIF(C3:C12,"&lt;15")</f>
        <v>1</v>
      </c>
      <c r="F22" s="1"/>
      <c r="G22" s="1"/>
      <c r="H22" s="1"/>
      <c r="I22" s="1"/>
      <c r="J22" s="14"/>
    </row>
    <row r="23" spans="1:10" x14ac:dyDescent="0.3">
      <c r="A23" s="15"/>
      <c r="B23" s="1"/>
      <c r="C23" s="1"/>
      <c r="D23" s="1"/>
      <c r="E23" s="16"/>
      <c r="F23" s="1"/>
      <c r="G23" s="1"/>
      <c r="H23" s="1"/>
      <c r="I23" s="1"/>
      <c r="J23" s="14"/>
    </row>
    <row r="24" spans="1:10" x14ac:dyDescent="0.3">
      <c r="A24" s="15" t="s">
        <v>272</v>
      </c>
      <c r="B24" s="1"/>
      <c r="C24" s="1"/>
      <c r="D24" s="1"/>
      <c r="E24" s="16">
        <f>COUNTIF(D3:D12,"&gt;20")</f>
        <v>0</v>
      </c>
      <c r="F24" s="1"/>
      <c r="G24" s="1"/>
      <c r="H24" s="1"/>
      <c r="I24" s="1"/>
      <c r="J24" s="14"/>
    </row>
    <row r="25" spans="1:10" x14ac:dyDescent="0.3">
      <c r="A25" s="18" t="s">
        <v>26</v>
      </c>
      <c r="B25" s="19"/>
      <c r="C25" s="19"/>
      <c r="D25" s="19"/>
      <c r="E25" s="20">
        <f>COUNTIF(D3:D12,"&lt;15")</f>
        <v>6</v>
      </c>
      <c r="F25" s="19"/>
      <c r="G25" s="19"/>
      <c r="H25" s="19"/>
      <c r="I25" s="19"/>
      <c r="J25" s="21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C06E-42F0-4959-8CA0-DB626561FFF4}">
  <dimension ref="A1:F20"/>
  <sheetViews>
    <sheetView workbookViewId="0">
      <selection activeCell="I8" sqref="I8"/>
    </sheetView>
  </sheetViews>
  <sheetFormatPr defaultRowHeight="13.8" x14ac:dyDescent="0.25"/>
  <cols>
    <col min="1" max="1" width="8.88671875" style="1"/>
    <col min="2" max="2" width="26.6640625" style="1" customWidth="1"/>
    <col min="3" max="4" width="8.88671875" style="1"/>
    <col min="5" max="5" width="11" style="1" customWidth="1"/>
    <col min="6" max="6" width="15.21875" style="1" customWidth="1"/>
    <col min="7" max="16384" width="8.88671875" style="1"/>
  </cols>
  <sheetData>
    <row r="1" spans="1:6" x14ac:dyDescent="0.25">
      <c r="A1" s="103" t="s">
        <v>27</v>
      </c>
      <c r="B1" s="104"/>
      <c r="C1" s="104"/>
      <c r="D1" s="104"/>
      <c r="E1" s="104"/>
      <c r="F1" s="105"/>
    </row>
    <row r="2" spans="1:6" x14ac:dyDescent="0.25">
      <c r="A2" s="22" t="s">
        <v>28</v>
      </c>
      <c r="B2" s="23" t="s">
        <v>29</v>
      </c>
      <c r="C2" s="134" t="s">
        <v>30</v>
      </c>
      <c r="D2" s="134" t="s">
        <v>31</v>
      </c>
      <c r="E2" s="134" t="s">
        <v>32</v>
      </c>
      <c r="F2" s="132" t="s">
        <v>10</v>
      </c>
    </row>
    <row r="3" spans="1:6" x14ac:dyDescent="0.25">
      <c r="A3" s="24">
        <v>1</v>
      </c>
      <c r="B3" s="2" t="s">
        <v>33</v>
      </c>
      <c r="C3" s="124">
        <v>20</v>
      </c>
      <c r="D3" s="124">
        <v>40000</v>
      </c>
      <c r="E3" s="124">
        <f t="shared" ref="E3:E12" si="0">D3*C3</f>
        <v>800000</v>
      </c>
      <c r="F3" s="3" t="str">
        <f t="shared" ref="F3:F12" si="1">IF(E3&gt;500000,"EXPENSIVE","LETS BUY IT")</f>
        <v>EXPENSIVE</v>
      </c>
    </row>
    <row r="4" spans="1:6" x14ac:dyDescent="0.25">
      <c r="A4" s="25">
        <v>2</v>
      </c>
      <c r="B4" s="4" t="s">
        <v>34</v>
      </c>
      <c r="C4" s="125">
        <v>30</v>
      </c>
      <c r="D4" s="125">
        <v>20000</v>
      </c>
      <c r="E4" s="125">
        <f t="shared" si="0"/>
        <v>600000</v>
      </c>
      <c r="F4" s="5" t="str">
        <f t="shared" si="1"/>
        <v>EXPENSIVE</v>
      </c>
    </row>
    <row r="5" spans="1:6" x14ac:dyDescent="0.25">
      <c r="A5" s="24">
        <v>3</v>
      </c>
      <c r="B5" s="2" t="s">
        <v>35</v>
      </c>
      <c r="C5" s="124">
        <v>15</v>
      </c>
      <c r="D5" s="124">
        <v>10000</v>
      </c>
      <c r="E5" s="124">
        <f t="shared" si="0"/>
        <v>150000</v>
      </c>
      <c r="F5" s="3" t="str">
        <f t="shared" si="1"/>
        <v>LETS BUY IT</v>
      </c>
    </row>
    <row r="6" spans="1:6" x14ac:dyDescent="0.25">
      <c r="A6" s="25">
        <v>4</v>
      </c>
      <c r="B6" s="4" t="s">
        <v>36</v>
      </c>
      <c r="C6" s="125">
        <v>14</v>
      </c>
      <c r="D6" s="125">
        <v>15000</v>
      </c>
      <c r="E6" s="125">
        <f t="shared" si="0"/>
        <v>210000</v>
      </c>
      <c r="F6" s="5" t="str">
        <f t="shared" si="1"/>
        <v>LETS BUY IT</v>
      </c>
    </row>
    <row r="7" spans="1:6" x14ac:dyDescent="0.25">
      <c r="A7" s="24">
        <v>5</v>
      </c>
      <c r="B7" s="2" t="s">
        <v>37</v>
      </c>
      <c r="C7" s="124">
        <v>18</v>
      </c>
      <c r="D7" s="124">
        <v>20000</v>
      </c>
      <c r="E7" s="124">
        <f t="shared" si="0"/>
        <v>360000</v>
      </c>
      <c r="F7" s="3" t="str">
        <f t="shared" si="1"/>
        <v>LETS BUY IT</v>
      </c>
    </row>
    <row r="8" spans="1:6" x14ac:dyDescent="0.25">
      <c r="A8" s="25">
        <v>6</v>
      </c>
      <c r="B8" s="4" t="s">
        <v>38</v>
      </c>
      <c r="C8" s="125">
        <v>17</v>
      </c>
      <c r="D8" s="125">
        <v>2000</v>
      </c>
      <c r="E8" s="125">
        <f t="shared" si="0"/>
        <v>34000</v>
      </c>
      <c r="F8" s="5" t="str">
        <f t="shared" si="1"/>
        <v>LETS BUY IT</v>
      </c>
    </row>
    <row r="9" spans="1:6" x14ac:dyDescent="0.25">
      <c r="A9" s="24">
        <v>7</v>
      </c>
      <c r="B9" s="2" t="s">
        <v>39</v>
      </c>
      <c r="C9" s="124">
        <v>10</v>
      </c>
      <c r="D9" s="124">
        <v>25000</v>
      </c>
      <c r="E9" s="124">
        <f t="shared" si="0"/>
        <v>250000</v>
      </c>
      <c r="F9" s="3" t="str">
        <f t="shared" si="1"/>
        <v>LETS BUY IT</v>
      </c>
    </row>
    <row r="10" spans="1:6" x14ac:dyDescent="0.25">
      <c r="A10" s="25">
        <v>8</v>
      </c>
      <c r="B10" s="4" t="s">
        <v>40</v>
      </c>
      <c r="C10" s="125">
        <v>5</v>
      </c>
      <c r="D10" s="125">
        <v>250</v>
      </c>
      <c r="E10" s="125">
        <f t="shared" si="0"/>
        <v>1250</v>
      </c>
      <c r="F10" s="5" t="str">
        <f t="shared" si="1"/>
        <v>LETS BUY IT</v>
      </c>
    </row>
    <row r="11" spans="1:6" x14ac:dyDescent="0.25">
      <c r="A11" s="24">
        <v>9</v>
      </c>
      <c r="B11" s="2" t="s">
        <v>41</v>
      </c>
      <c r="C11" s="124">
        <v>25</v>
      </c>
      <c r="D11" s="124">
        <v>100</v>
      </c>
      <c r="E11" s="124">
        <f t="shared" si="0"/>
        <v>2500</v>
      </c>
      <c r="F11" s="3" t="str">
        <f t="shared" si="1"/>
        <v>LETS BUY IT</v>
      </c>
    </row>
    <row r="12" spans="1:6" x14ac:dyDescent="0.25">
      <c r="A12" s="26">
        <v>10</v>
      </c>
      <c r="B12" s="27" t="s">
        <v>42</v>
      </c>
      <c r="C12" s="135">
        <v>30</v>
      </c>
      <c r="D12" s="135">
        <v>12000</v>
      </c>
      <c r="E12" s="135">
        <f t="shared" si="0"/>
        <v>360000</v>
      </c>
      <c r="F12" s="133" t="str">
        <f t="shared" si="1"/>
        <v>LETS BUY IT</v>
      </c>
    </row>
    <row r="13" spans="1:6" x14ac:dyDescent="0.25">
      <c r="A13" s="6" t="s">
        <v>273</v>
      </c>
      <c r="B13" s="7"/>
      <c r="C13" s="8">
        <f>COUNTA(B3:B12)</f>
        <v>10</v>
      </c>
      <c r="D13" s="7"/>
      <c r="E13" s="7"/>
      <c r="F13" s="9"/>
    </row>
    <row r="14" spans="1:6" x14ac:dyDescent="0.25">
      <c r="A14" s="15"/>
      <c r="C14" s="16"/>
      <c r="F14" s="14"/>
    </row>
    <row r="15" spans="1:6" x14ac:dyDescent="0.25">
      <c r="A15" s="15" t="s">
        <v>274</v>
      </c>
      <c r="C15" s="16">
        <f>COUNTIF(C3:C12,"&gt;20")</f>
        <v>3</v>
      </c>
      <c r="F15" s="14"/>
    </row>
    <row r="16" spans="1:6" x14ac:dyDescent="0.25">
      <c r="A16" s="15" t="s">
        <v>43</v>
      </c>
      <c r="C16" s="16">
        <f>COUNTIF(C3:C12,"&lt;20")</f>
        <v>6</v>
      </c>
      <c r="F16" s="14"/>
    </row>
    <row r="17" spans="1:6" x14ac:dyDescent="0.25">
      <c r="A17" s="15"/>
      <c r="C17" s="16"/>
      <c r="F17" s="14"/>
    </row>
    <row r="18" spans="1:6" x14ac:dyDescent="0.25">
      <c r="A18" s="15" t="s">
        <v>275</v>
      </c>
      <c r="C18" s="16">
        <f>SUMIF($B$3:$B$12,"COMPUTER",C3:C12)</f>
        <v>10</v>
      </c>
      <c r="F18" s="14"/>
    </row>
    <row r="19" spans="1:6" x14ac:dyDescent="0.25">
      <c r="A19" s="15" t="s">
        <v>44</v>
      </c>
      <c r="C19" s="16">
        <f>SUMIF($B$3:$B$12,"COMPUTER",D3:D12)</f>
        <v>25000</v>
      </c>
      <c r="F19" s="14"/>
    </row>
    <row r="20" spans="1:6" x14ac:dyDescent="0.25">
      <c r="A20" s="18" t="s">
        <v>45</v>
      </c>
      <c r="B20" s="19"/>
      <c r="C20" s="20">
        <f>SUMIF($B$3:$B$12,"COMPUTER",E3:E12)</f>
        <v>250000</v>
      </c>
      <c r="D20" s="19"/>
      <c r="E20" s="19"/>
      <c r="F20" s="21"/>
    </row>
  </sheetData>
  <mergeCells count="1">
    <mergeCell ref="A1:F1"/>
  </mergeCells>
  <conditionalFormatting sqref="F3:F12">
    <cfRule type="containsText" dxfId="17" priority="1" operator="containsText" text="exp">
      <formula>NOT(ISERROR(SEARCH("exp",F3)))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AD2C-19E5-4764-B108-74C4A1C382A6}">
  <dimension ref="A1:G27"/>
  <sheetViews>
    <sheetView workbookViewId="0">
      <selection activeCell="E14" sqref="E14"/>
    </sheetView>
  </sheetViews>
  <sheetFormatPr defaultRowHeight="13.8" x14ac:dyDescent="0.25"/>
  <cols>
    <col min="1" max="1" width="18.109375" style="1" customWidth="1"/>
    <col min="2" max="2" width="12.44140625" style="1" customWidth="1"/>
    <col min="3" max="3" width="8.88671875" style="1"/>
    <col min="4" max="4" width="12.5546875" style="1" customWidth="1"/>
    <col min="5" max="5" width="8.88671875" style="1"/>
    <col min="6" max="6" width="13.44140625" style="1" customWidth="1"/>
    <col min="7" max="16384" width="8.88671875" style="1"/>
  </cols>
  <sheetData>
    <row r="1" spans="1:7" x14ac:dyDescent="0.25">
      <c r="A1" s="106" t="s">
        <v>46</v>
      </c>
      <c r="B1" s="107"/>
      <c r="C1" s="107"/>
      <c r="D1" s="107"/>
      <c r="E1" s="107"/>
      <c r="F1" s="107"/>
      <c r="G1" s="108"/>
    </row>
    <row r="2" spans="1:7" x14ac:dyDescent="0.25">
      <c r="A2" s="28" t="s">
        <v>47</v>
      </c>
      <c r="B2" s="29" t="s">
        <v>48</v>
      </c>
      <c r="C2" s="29" t="s">
        <v>49</v>
      </c>
      <c r="D2" s="29" t="s">
        <v>50</v>
      </c>
      <c r="E2" s="29" t="s">
        <v>8</v>
      </c>
      <c r="F2" s="29" t="s">
        <v>9</v>
      </c>
      <c r="G2" s="28" t="s">
        <v>10</v>
      </c>
    </row>
    <row r="3" spans="1:7" x14ac:dyDescent="0.25">
      <c r="A3" s="30" t="s">
        <v>3</v>
      </c>
      <c r="B3" s="31">
        <v>20</v>
      </c>
      <c r="C3" s="31">
        <v>15</v>
      </c>
      <c r="D3" s="31">
        <v>20</v>
      </c>
      <c r="E3" s="31">
        <f t="shared" ref="E3:E11" si="0">SUM(B3:D3)</f>
        <v>55</v>
      </c>
      <c r="F3" s="31">
        <f t="shared" ref="F3:F11" si="1">AVERAGE(B3:D3)</f>
        <v>18.333333333333332</v>
      </c>
      <c r="G3" s="31" t="str">
        <f t="shared" ref="G3:G11" si="2">IF(F3&gt;20,"A",IF(F3&gt;15,"B","C"))</f>
        <v>B</v>
      </c>
    </row>
    <row r="4" spans="1:7" x14ac:dyDescent="0.25">
      <c r="A4" s="32" t="s">
        <v>4</v>
      </c>
      <c r="B4" s="33">
        <v>30</v>
      </c>
      <c r="C4" s="33">
        <v>12</v>
      </c>
      <c r="D4" s="33">
        <v>15</v>
      </c>
      <c r="E4" s="33">
        <f t="shared" si="0"/>
        <v>57</v>
      </c>
      <c r="F4" s="33">
        <f t="shared" si="1"/>
        <v>19</v>
      </c>
      <c r="G4" s="33" t="str">
        <f t="shared" si="2"/>
        <v>B</v>
      </c>
    </row>
    <row r="5" spans="1:7" x14ac:dyDescent="0.25">
      <c r="A5" s="30" t="s">
        <v>5</v>
      </c>
      <c r="B5" s="31">
        <v>15</v>
      </c>
      <c r="C5" s="31">
        <v>14</v>
      </c>
      <c r="D5" s="31">
        <v>14</v>
      </c>
      <c r="E5" s="31">
        <f t="shared" si="0"/>
        <v>43</v>
      </c>
      <c r="F5" s="31">
        <f t="shared" si="1"/>
        <v>14.333333333333334</v>
      </c>
      <c r="G5" s="31" t="str">
        <f t="shared" si="2"/>
        <v>C</v>
      </c>
    </row>
    <row r="6" spans="1:7" x14ac:dyDescent="0.25">
      <c r="A6" s="32" t="s">
        <v>6</v>
      </c>
      <c r="B6" s="33">
        <v>12</v>
      </c>
      <c r="C6" s="33">
        <v>17</v>
      </c>
      <c r="D6" s="33">
        <v>17</v>
      </c>
      <c r="E6" s="33">
        <f t="shared" si="0"/>
        <v>46</v>
      </c>
      <c r="F6" s="33">
        <f t="shared" si="1"/>
        <v>15.333333333333334</v>
      </c>
      <c r="G6" s="33" t="str">
        <f t="shared" si="2"/>
        <v>B</v>
      </c>
    </row>
    <row r="7" spans="1:7" x14ac:dyDescent="0.25">
      <c r="A7" s="30" t="s">
        <v>7</v>
      </c>
      <c r="B7" s="31">
        <v>14</v>
      </c>
      <c r="C7" s="31">
        <v>18</v>
      </c>
      <c r="D7" s="31">
        <v>18</v>
      </c>
      <c r="E7" s="31">
        <f t="shared" si="0"/>
        <v>50</v>
      </c>
      <c r="F7" s="31">
        <f t="shared" si="1"/>
        <v>16.666666666666668</v>
      </c>
      <c r="G7" s="31" t="str">
        <f t="shared" si="2"/>
        <v>B</v>
      </c>
    </row>
    <row r="8" spans="1:7" x14ac:dyDescent="0.25">
      <c r="A8" s="32" t="s">
        <v>51</v>
      </c>
      <c r="B8" s="33">
        <v>16</v>
      </c>
      <c r="C8" s="33">
        <v>25</v>
      </c>
      <c r="D8" s="33">
        <v>20</v>
      </c>
      <c r="E8" s="33">
        <f t="shared" si="0"/>
        <v>61</v>
      </c>
      <c r="F8" s="33">
        <f t="shared" si="1"/>
        <v>20.333333333333332</v>
      </c>
      <c r="G8" s="33" t="str">
        <f t="shared" si="2"/>
        <v>A</v>
      </c>
    </row>
    <row r="9" spans="1:7" x14ac:dyDescent="0.25">
      <c r="A9" s="30" t="s">
        <v>52</v>
      </c>
      <c r="B9" s="31">
        <v>18</v>
      </c>
      <c r="C9" s="31">
        <v>21</v>
      </c>
      <c r="D9" s="31">
        <v>22</v>
      </c>
      <c r="E9" s="31">
        <f t="shared" si="0"/>
        <v>61</v>
      </c>
      <c r="F9" s="31">
        <f t="shared" si="1"/>
        <v>20.333333333333332</v>
      </c>
      <c r="G9" s="31" t="str">
        <f t="shared" si="2"/>
        <v>A</v>
      </c>
    </row>
    <row r="10" spans="1:7" x14ac:dyDescent="0.25">
      <c r="A10" s="32" t="s">
        <v>53</v>
      </c>
      <c r="B10" s="33">
        <v>17</v>
      </c>
      <c r="C10" s="33">
        <v>23</v>
      </c>
      <c r="D10" s="33">
        <v>13</v>
      </c>
      <c r="E10" s="33">
        <f t="shared" si="0"/>
        <v>53</v>
      </c>
      <c r="F10" s="33">
        <f t="shared" si="1"/>
        <v>17.666666666666668</v>
      </c>
      <c r="G10" s="33" t="str">
        <f t="shared" si="2"/>
        <v>B</v>
      </c>
    </row>
    <row r="11" spans="1:7" x14ac:dyDescent="0.25">
      <c r="A11" s="34" t="s">
        <v>54</v>
      </c>
      <c r="B11" s="35">
        <v>20</v>
      </c>
      <c r="C11" s="35">
        <v>25</v>
      </c>
      <c r="D11" s="35">
        <v>25</v>
      </c>
      <c r="E11" s="35">
        <f t="shared" si="0"/>
        <v>70</v>
      </c>
      <c r="F11" s="35">
        <f t="shared" si="1"/>
        <v>23.333333333333332</v>
      </c>
      <c r="G11" s="35" t="str">
        <f t="shared" si="2"/>
        <v>A</v>
      </c>
    </row>
    <row r="12" spans="1:7" x14ac:dyDescent="0.25">
      <c r="A12" s="6" t="s">
        <v>55</v>
      </c>
      <c r="B12" s="8">
        <f>COUNTA(A3:A11)</f>
        <v>9</v>
      </c>
      <c r="C12" s="7"/>
      <c r="D12" s="7"/>
      <c r="E12" s="7"/>
      <c r="F12" s="7"/>
      <c r="G12" s="9"/>
    </row>
    <row r="13" spans="1:7" x14ac:dyDescent="0.25">
      <c r="A13" s="15"/>
      <c r="B13" s="36"/>
      <c r="G13" s="14"/>
    </row>
    <row r="14" spans="1:7" x14ac:dyDescent="0.25">
      <c r="A14" s="15" t="s">
        <v>56</v>
      </c>
      <c r="E14" s="16">
        <f>COUNTIF(B3:B11,"&gt;20")</f>
        <v>1</v>
      </c>
      <c r="G14" s="14"/>
    </row>
    <row r="15" spans="1:7" x14ac:dyDescent="0.25">
      <c r="A15" s="15"/>
      <c r="E15" s="37"/>
      <c r="G15" s="14"/>
    </row>
    <row r="16" spans="1:7" x14ac:dyDescent="0.25">
      <c r="A16" s="15" t="s">
        <v>57</v>
      </c>
      <c r="G16" s="14"/>
    </row>
    <row r="17" spans="1:7" x14ac:dyDescent="0.25">
      <c r="A17" s="38" t="s">
        <v>47</v>
      </c>
      <c r="B17" s="39" t="s">
        <v>8</v>
      </c>
      <c r="C17" s="39" t="s">
        <v>10</v>
      </c>
      <c r="G17" s="14"/>
    </row>
    <row r="18" spans="1:7" x14ac:dyDescent="0.25">
      <c r="A18" s="40" t="s">
        <v>3</v>
      </c>
      <c r="B18" s="17">
        <f>VLOOKUP(A18,$A$2:$G$11,5,0)</f>
        <v>55</v>
      </c>
      <c r="C18" s="41" t="str">
        <f>VLOOKUP(A18,$A$2:$G$11,7,0)</f>
        <v>B</v>
      </c>
      <c r="G18" s="14"/>
    </row>
    <row r="19" spans="1:7" x14ac:dyDescent="0.25">
      <c r="A19" s="40" t="s">
        <v>4</v>
      </c>
      <c r="B19" s="17">
        <f>VLOOKUP(A19,$A$2:$G$11,5,0)</f>
        <v>57</v>
      </c>
      <c r="C19" s="41" t="str">
        <f>VLOOKUP(A19,$A$2:$G$11,7,0)</f>
        <v>B</v>
      </c>
      <c r="G19" s="14"/>
    </row>
    <row r="20" spans="1:7" x14ac:dyDescent="0.25">
      <c r="A20" s="40" t="s">
        <v>5</v>
      </c>
      <c r="B20" s="17">
        <f>VLOOKUP(A20,$A$2:$G$11,5,0)</f>
        <v>43</v>
      </c>
      <c r="C20" s="41" t="str">
        <f>VLOOKUP(A20,$A$2:$G$11,7,0)</f>
        <v>C</v>
      </c>
      <c r="G20" s="14"/>
    </row>
    <row r="21" spans="1:7" x14ac:dyDescent="0.25">
      <c r="A21" s="15"/>
      <c r="B21" s="17"/>
      <c r="C21" s="41"/>
      <c r="G21" s="14"/>
    </row>
    <row r="22" spans="1:7" x14ac:dyDescent="0.25">
      <c r="A22" s="15" t="s">
        <v>276</v>
      </c>
      <c r="G22" s="14"/>
    </row>
    <row r="23" spans="1:7" x14ac:dyDescent="0.25">
      <c r="A23" s="38" t="s">
        <v>47</v>
      </c>
      <c r="B23" s="39" t="s">
        <v>8</v>
      </c>
      <c r="C23" s="39" t="s">
        <v>9</v>
      </c>
      <c r="G23" s="14"/>
    </row>
    <row r="24" spans="1:7" x14ac:dyDescent="0.25">
      <c r="A24" s="15" t="s">
        <v>4</v>
      </c>
      <c r="B24" s="17">
        <f t="array" ref="B24:C24">VLOOKUP(A24,$A$2:$G$11,{5,6},0)</f>
        <v>57</v>
      </c>
      <c r="C24" s="17">
        <v>19</v>
      </c>
      <c r="D24" s="17"/>
      <c r="G24" s="14"/>
    </row>
    <row r="25" spans="1:7" x14ac:dyDescent="0.25">
      <c r="A25" s="15" t="s">
        <v>5</v>
      </c>
      <c r="B25" s="17">
        <f t="array" ref="B25:C25">VLOOKUP(A25,$A$2:$G$11,{5,6},0)</f>
        <v>43</v>
      </c>
      <c r="C25" s="17">
        <v>14.333333333333334</v>
      </c>
      <c r="D25" s="17"/>
      <c r="G25" s="14"/>
    </row>
    <row r="26" spans="1:7" x14ac:dyDescent="0.25">
      <c r="A26" s="18" t="s">
        <v>6</v>
      </c>
      <c r="B26" s="42">
        <f t="array" ref="B26:C26">VLOOKUP(A26,$A$2:$G$11,{5,6},0)</f>
        <v>46</v>
      </c>
      <c r="C26" s="42">
        <v>15.333333333333334</v>
      </c>
      <c r="D26" s="42"/>
      <c r="E26" s="19"/>
      <c r="F26" s="19"/>
      <c r="G26" s="21"/>
    </row>
    <row r="27" spans="1:7" x14ac:dyDescent="0.25">
      <c r="B27" s="17"/>
      <c r="C27" s="17"/>
      <c r="D27" s="17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67F5-741A-4EB5-86EE-92BA8B9E31B4}">
  <dimension ref="A1:I25"/>
  <sheetViews>
    <sheetView workbookViewId="0">
      <selection activeCell="L9" sqref="L9"/>
    </sheetView>
  </sheetViews>
  <sheetFormatPr defaultRowHeight="13.8" x14ac:dyDescent="0.25"/>
  <cols>
    <col min="1" max="1" width="11" style="1" customWidth="1"/>
    <col min="2" max="2" width="16.109375" style="1" customWidth="1"/>
    <col min="3" max="3" width="21.5546875" style="1" customWidth="1"/>
    <col min="4" max="5" width="8.88671875" style="1"/>
    <col min="6" max="6" width="13" style="1" customWidth="1"/>
    <col min="7" max="16384" width="8.88671875" style="1"/>
  </cols>
  <sheetData>
    <row r="1" spans="1:9" x14ac:dyDescent="0.25">
      <c r="A1" s="127" t="s">
        <v>58</v>
      </c>
      <c r="B1" s="127"/>
      <c r="C1" s="127"/>
      <c r="D1" s="127"/>
      <c r="E1" s="127"/>
      <c r="F1" s="127"/>
      <c r="G1" s="127"/>
      <c r="H1" s="127"/>
      <c r="I1" s="127"/>
    </row>
    <row r="2" spans="1:9" x14ac:dyDescent="0.25">
      <c r="A2" s="152" t="s">
        <v>59</v>
      </c>
      <c r="B2" s="152" t="s">
        <v>60</v>
      </c>
      <c r="C2" s="152" t="s">
        <v>61</v>
      </c>
      <c r="D2" s="153" t="s">
        <v>62</v>
      </c>
      <c r="E2" s="153" t="s">
        <v>63</v>
      </c>
      <c r="F2" s="153" t="s">
        <v>64</v>
      </c>
      <c r="G2" s="153" t="s">
        <v>65</v>
      </c>
      <c r="H2" s="153" t="s">
        <v>8</v>
      </c>
      <c r="I2" s="152" t="s">
        <v>10</v>
      </c>
    </row>
    <row r="3" spans="1:9" x14ac:dyDescent="0.25">
      <c r="A3" s="154" t="s">
        <v>11</v>
      </c>
      <c r="B3" s="154" t="s">
        <v>39</v>
      </c>
      <c r="C3" s="154" t="s">
        <v>66</v>
      </c>
      <c r="D3" s="155">
        <v>5000</v>
      </c>
      <c r="E3" s="155">
        <f t="shared" ref="E3:E10" si="0">D3*2.5%</f>
        <v>125</v>
      </c>
      <c r="F3" s="155">
        <f t="shared" ref="F3:F10" si="1">D3*3.5%</f>
        <v>175.00000000000003</v>
      </c>
      <c r="G3" s="155">
        <f t="shared" ref="G3:G10" si="2">D3*1.5%</f>
        <v>75</v>
      </c>
      <c r="H3" s="155">
        <f t="shared" ref="H3:H10" si="3">SUM(D3:G3)</f>
        <v>5375</v>
      </c>
      <c r="I3" s="155" t="str">
        <f t="shared" ref="I3:I10" si="4">IF(H3&gt;20000,"A",IF(H3&gt;10000,"B","C"))</f>
        <v>C</v>
      </c>
    </row>
    <row r="4" spans="1:9" x14ac:dyDescent="0.25">
      <c r="A4" s="32" t="s">
        <v>67</v>
      </c>
      <c r="B4" s="32" t="s">
        <v>39</v>
      </c>
      <c r="C4" s="32" t="s">
        <v>68</v>
      </c>
      <c r="D4" s="33">
        <v>8000</v>
      </c>
      <c r="E4" s="33">
        <f t="shared" si="0"/>
        <v>200</v>
      </c>
      <c r="F4" s="33">
        <f t="shared" si="1"/>
        <v>280</v>
      </c>
      <c r="G4" s="33">
        <f t="shared" si="2"/>
        <v>120</v>
      </c>
      <c r="H4" s="33">
        <f t="shared" si="3"/>
        <v>8600</v>
      </c>
      <c r="I4" s="33" t="str">
        <f t="shared" si="4"/>
        <v>C</v>
      </c>
    </row>
    <row r="5" spans="1:9" x14ac:dyDescent="0.25">
      <c r="A5" s="154" t="s">
        <v>13</v>
      </c>
      <c r="B5" s="154" t="s">
        <v>39</v>
      </c>
      <c r="C5" s="154" t="s">
        <v>69</v>
      </c>
      <c r="D5" s="155">
        <v>3000</v>
      </c>
      <c r="E5" s="155">
        <f t="shared" si="0"/>
        <v>75</v>
      </c>
      <c r="F5" s="155">
        <f t="shared" si="1"/>
        <v>105.00000000000001</v>
      </c>
      <c r="G5" s="155">
        <f t="shared" si="2"/>
        <v>45</v>
      </c>
      <c r="H5" s="155">
        <f t="shared" si="3"/>
        <v>3225</v>
      </c>
      <c r="I5" s="155" t="str">
        <f t="shared" si="4"/>
        <v>C</v>
      </c>
    </row>
    <row r="6" spans="1:9" x14ac:dyDescent="0.25">
      <c r="A6" s="32" t="s">
        <v>16</v>
      </c>
      <c r="B6" s="32" t="s">
        <v>70</v>
      </c>
      <c r="C6" s="32" t="s">
        <v>71</v>
      </c>
      <c r="D6" s="33">
        <v>6000</v>
      </c>
      <c r="E6" s="33">
        <f t="shared" si="0"/>
        <v>150</v>
      </c>
      <c r="F6" s="33">
        <f t="shared" si="1"/>
        <v>210.00000000000003</v>
      </c>
      <c r="G6" s="33">
        <f t="shared" si="2"/>
        <v>90</v>
      </c>
      <c r="H6" s="33">
        <f t="shared" si="3"/>
        <v>6450</v>
      </c>
      <c r="I6" s="33" t="str">
        <f t="shared" si="4"/>
        <v>C</v>
      </c>
    </row>
    <row r="7" spans="1:9" x14ac:dyDescent="0.25">
      <c r="A7" s="154" t="s">
        <v>72</v>
      </c>
      <c r="B7" s="154" t="s">
        <v>70</v>
      </c>
      <c r="C7" s="154" t="s">
        <v>73</v>
      </c>
      <c r="D7" s="155">
        <v>8000</v>
      </c>
      <c r="E7" s="155">
        <f t="shared" si="0"/>
        <v>200</v>
      </c>
      <c r="F7" s="155">
        <f t="shared" si="1"/>
        <v>280</v>
      </c>
      <c r="G7" s="155">
        <f t="shared" si="2"/>
        <v>120</v>
      </c>
      <c r="H7" s="155">
        <f t="shared" si="3"/>
        <v>8600</v>
      </c>
      <c r="I7" s="155" t="str">
        <f t="shared" si="4"/>
        <v>C</v>
      </c>
    </row>
    <row r="8" spans="1:9" x14ac:dyDescent="0.25">
      <c r="A8" s="32" t="s">
        <v>74</v>
      </c>
      <c r="B8" s="32" t="s">
        <v>70</v>
      </c>
      <c r="C8" s="32" t="s">
        <v>75</v>
      </c>
      <c r="D8" s="33">
        <v>9000</v>
      </c>
      <c r="E8" s="33">
        <f t="shared" si="0"/>
        <v>225</v>
      </c>
      <c r="F8" s="33">
        <f t="shared" si="1"/>
        <v>315.00000000000006</v>
      </c>
      <c r="G8" s="33">
        <f t="shared" si="2"/>
        <v>135</v>
      </c>
      <c r="H8" s="33">
        <f t="shared" si="3"/>
        <v>9675</v>
      </c>
      <c r="I8" s="33" t="str">
        <f t="shared" si="4"/>
        <v>C</v>
      </c>
    </row>
    <row r="9" spans="1:9" x14ac:dyDescent="0.25">
      <c r="A9" s="154" t="s">
        <v>76</v>
      </c>
      <c r="B9" s="154" t="s">
        <v>77</v>
      </c>
      <c r="C9" s="154" t="s">
        <v>66</v>
      </c>
      <c r="D9" s="155">
        <v>10000</v>
      </c>
      <c r="E9" s="155">
        <f t="shared" si="0"/>
        <v>250</v>
      </c>
      <c r="F9" s="155">
        <f t="shared" si="1"/>
        <v>350.00000000000006</v>
      </c>
      <c r="G9" s="155">
        <f t="shared" si="2"/>
        <v>150</v>
      </c>
      <c r="H9" s="155">
        <f t="shared" si="3"/>
        <v>10750</v>
      </c>
      <c r="I9" s="155" t="str">
        <f t="shared" si="4"/>
        <v>B</v>
      </c>
    </row>
    <row r="10" spans="1:9" x14ac:dyDescent="0.25">
      <c r="A10" s="32" t="s">
        <v>78</v>
      </c>
      <c r="B10" s="32" t="s">
        <v>77</v>
      </c>
      <c r="C10" s="32" t="s">
        <v>71</v>
      </c>
      <c r="D10" s="33">
        <v>5000</v>
      </c>
      <c r="E10" s="33">
        <f t="shared" si="0"/>
        <v>125</v>
      </c>
      <c r="F10" s="33">
        <f t="shared" si="1"/>
        <v>175.00000000000003</v>
      </c>
      <c r="G10" s="33">
        <f t="shared" si="2"/>
        <v>75</v>
      </c>
      <c r="H10" s="33">
        <f t="shared" si="3"/>
        <v>5375</v>
      </c>
      <c r="I10" s="33" t="str">
        <f t="shared" si="4"/>
        <v>C</v>
      </c>
    </row>
    <row r="11" spans="1:9" x14ac:dyDescent="0.25">
      <c r="A11" s="6" t="s">
        <v>79</v>
      </c>
      <c r="B11" s="7"/>
      <c r="C11" s="7"/>
      <c r="D11" s="7"/>
      <c r="E11" s="7"/>
      <c r="F11" s="7"/>
      <c r="G11" s="7"/>
      <c r="H11" s="7"/>
      <c r="I11" s="9"/>
    </row>
    <row r="12" spans="1:9" x14ac:dyDescent="0.25">
      <c r="A12" s="15" t="s">
        <v>80</v>
      </c>
      <c r="B12" s="16">
        <f>COUNTIF($B$3:$B$10,"computer")</f>
        <v>3</v>
      </c>
      <c r="I12" s="14"/>
    </row>
    <row r="13" spans="1:9" x14ac:dyDescent="0.25">
      <c r="A13" s="15" t="s">
        <v>81</v>
      </c>
      <c r="B13" s="16">
        <f>COUNTIF($B$3:$B$10,"electrical")</f>
        <v>3</v>
      </c>
      <c r="I13" s="14"/>
    </row>
    <row r="14" spans="1:9" x14ac:dyDescent="0.25">
      <c r="A14" s="15" t="s">
        <v>82</v>
      </c>
      <c r="B14" s="16">
        <f>COUNTIF($B$3:$B$10,"finance")</f>
        <v>2</v>
      </c>
      <c r="I14" s="14"/>
    </row>
    <row r="15" spans="1:9" x14ac:dyDescent="0.25">
      <c r="A15" s="15"/>
      <c r="B15" s="16"/>
      <c r="I15" s="14"/>
    </row>
    <row r="16" spans="1:9" x14ac:dyDescent="0.25">
      <c r="A16" s="15" t="s">
        <v>83</v>
      </c>
      <c r="D16" s="16">
        <f>SUMIF(B3:B10,"computer",D3:D10)</f>
        <v>16000</v>
      </c>
      <c r="I16" s="14"/>
    </row>
    <row r="17" spans="1:9" x14ac:dyDescent="0.25">
      <c r="A17" s="15"/>
      <c r="I17" s="14"/>
    </row>
    <row r="18" spans="1:9" x14ac:dyDescent="0.25">
      <c r="A18" s="15" t="s">
        <v>84</v>
      </c>
      <c r="I18" s="14"/>
    </row>
    <row r="19" spans="1:9" x14ac:dyDescent="0.25">
      <c r="A19" s="45" t="s">
        <v>59</v>
      </c>
      <c r="B19" s="43" t="s">
        <v>61</v>
      </c>
      <c r="C19" s="44" t="s">
        <v>10</v>
      </c>
      <c r="I19" s="14"/>
    </row>
    <row r="20" spans="1:9" x14ac:dyDescent="0.25">
      <c r="A20" s="40" t="s">
        <v>13</v>
      </c>
      <c r="B20" s="17" t="str">
        <f>VLOOKUP(A20,$A$2:$I$10,3,0)</f>
        <v>PION</v>
      </c>
      <c r="C20" s="17" t="str">
        <f>VLOOKUP(A20,$A$2:$I$10,9,0)</f>
        <v>C</v>
      </c>
      <c r="I20" s="14"/>
    </row>
    <row r="21" spans="1:9" x14ac:dyDescent="0.25">
      <c r="A21" s="40" t="s">
        <v>76</v>
      </c>
      <c r="B21" s="17" t="str">
        <f>VLOOKUP(A21,$A$2:$I$10,3,0)</f>
        <v>MANAGER</v>
      </c>
      <c r="C21" s="17" t="str">
        <f>VLOOKUP(A21,$A$2:$I$10,9,0)</f>
        <v>B</v>
      </c>
      <c r="I21" s="14"/>
    </row>
    <row r="22" spans="1:9" x14ac:dyDescent="0.25">
      <c r="A22" s="15"/>
      <c r="B22" s="17"/>
      <c r="C22" s="17"/>
      <c r="I22" s="14"/>
    </row>
    <row r="23" spans="1:9" x14ac:dyDescent="0.25">
      <c r="A23" s="15" t="s">
        <v>277</v>
      </c>
      <c r="I23" s="14"/>
    </row>
    <row r="24" spans="1:9" x14ac:dyDescent="0.25">
      <c r="A24" s="15" t="s">
        <v>66</v>
      </c>
      <c r="B24" s="16">
        <f>COUNTIF(C3:C10,"manager")</f>
        <v>2</v>
      </c>
      <c r="I24" s="14"/>
    </row>
    <row r="25" spans="1:9" x14ac:dyDescent="0.25">
      <c r="A25" s="18" t="s">
        <v>71</v>
      </c>
      <c r="B25" s="20">
        <f>COUNTIF(C3:C10,"guard")</f>
        <v>2</v>
      </c>
      <c r="C25" s="19"/>
      <c r="D25" s="19"/>
      <c r="E25" s="19"/>
      <c r="F25" s="19"/>
      <c r="G25" s="19"/>
      <c r="H25" s="19"/>
      <c r="I25" s="21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B5B4-2FC9-46BD-9992-DB169375A64A}">
  <dimension ref="A1:J23"/>
  <sheetViews>
    <sheetView workbookViewId="0">
      <selection activeCell="F20" sqref="F20"/>
    </sheetView>
  </sheetViews>
  <sheetFormatPr defaultRowHeight="13.8" x14ac:dyDescent="0.25"/>
  <cols>
    <col min="1" max="1" width="24.44140625" style="1" customWidth="1"/>
    <col min="2" max="2" width="14.33203125" style="1" customWidth="1"/>
    <col min="3" max="3" width="19.44140625" style="1" customWidth="1"/>
    <col min="4" max="4" width="9.33203125" style="1" customWidth="1"/>
    <col min="5" max="5" width="8.77734375" style="1" customWidth="1"/>
    <col min="6" max="6" width="10.33203125" style="1" customWidth="1"/>
    <col min="7" max="7" width="7.44140625" style="1" customWidth="1"/>
    <col min="8" max="8" width="12.6640625" style="1" customWidth="1"/>
    <col min="9" max="9" width="9.109375" style="1" bestFit="1" customWidth="1"/>
    <col min="10" max="10" width="18.5546875" style="1" bestFit="1" customWidth="1"/>
    <col min="11" max="16384" width="8.88671875" style="1"/>
  </cols>
  <sheetData>
    <row r="1" spans="1:10" x14ac:dyDescent="0.25">
      <c r="A1" s="103" t="s">
        <v>85</v>
      </c>
      <c r="B1" s="104"/>
      <c r="C1" s="104"/>
      <c r="D1" s="104"/>
      <c r="E1" s="104"/>
      <c r="F1" s="104"/>
      <c r="G1" s="104"/>
      <c r="H1" s="104"/>
      <c r="I1" s="104"/>
      <c r="J1" s="105"/>
    </row>
    <row r="2" spans="1:10" x14ac:dyDescent="0.25">
      <c r="A2" s="140" t="s">
        <v>86</v>
      </c>
      <c r="B2" s="136" t="s">
        <v>87</v>
      </c>
      <c r="C2" s="136" t="s">
        <v>88</v>
      </c>
      <c r="D2" s="136" t="s">
        <v>89</v>
      </c>
      <c r="E2" s="136" t="s">
        <v>90</v>
      </c>
      <c r="F2" s="136" t="s">
        <v>91</v>
      </c>
      <c r="G2" s="136" t="s">
        <v>92</v>
      </c>
      <c r="H2" s="136" t="s">
        <v>93</v>
      </c>
      <c r="I2" s="136" t="s">
        <v>94</v>
      </c>
      <c r="J2" s="141" t="s">
        <v>95</v>
      </c>
    </row>
    <row r="3" spans="1:10" x14ac:dyDescent="0.25">
      <c r="A3" s="142" t="s">
        <v>96</v>
      </c>
      <c r="B3" s="137">
        <v>2000</v>
      </c>
      <c r="C3" s="137">
        <v>1500</v>
      </c>
      <c r="D3" s="137">
        <v>300</v>
      </c>
      <c r="E3" s="137">
        <v>1400</v>
      </c>
      <c r="F3" s="137">
        <v>1000</v>
      </c>
      <c r="G3" s="137">
        <v>1400</v>
      </c>
      <c r="H3" s="137">
        <f t="shared" ref="H3:H13" si="0">SUM(B3:G3)</f>
        <v>7600</v>
      </c>
      <c r="I3" s="137">
        <v>10000</v>
      </c>
      <c r="J3" s="143" t="str">
        <f t="shared" ref="J3:J13" si="1">IF(H3&gt;I3,"TARGET ACHIVED","NOT ACHIVED")</f>
        <v>NOT ACHIVED</v>
      </c>
    </row>
    <row r="4" spans="1:10" x14ac:dyDescent="0.25">
      <c r="A4" s="144" t="s">
        <v>74</v>
      </c>
      <c r="B4" s="138">
        <v>5000</v>
      </c>
      <c r="C4" s="138">
        <v>1200</v>
      </c>
      <c r="D4" s="138">
        <v>500</v>
      </c>
      <c r="E4" s="138">
        <v>1200</v>
      </c>
      <c r="F4" s="138">
        <v>1200</v>
      </c>
      <c r="G4" s="138">
        <v>2800</v>
      </c>
      <c r="H4" s="138">
        <f t="shared" si="0"/>
        <v>11900</v>
      </c>
      <c r="I4" s="138">
        <v>12000</v>
      </c>
      <c r="J4" s="145" t="str">
        <f t="shared" si="1"/>
        <v>NOT ACHIVED</v>
      </c>
    </row>
    <row r="5" spans="1:10" x14ac:dyDescent="0.25">
      <c r="A5" s="142" t="s">
        <v>72</v>
      </c>
      <c r="B5" s="137">
        <v>3000</v>
      </c>
      <c r="C5" s="137">
        <v>800</v>
      </c>
      <c r="D5" s="137">
        <v>1200</v>
      </c>
      <c r="E5" s="137">
        <v>3000</v>
      </c>
      <c r="F5" s="137">
        <v>1500</v>
      </c>
      <c r="G5" s="137">
        <v>3500</v>
      </c>
      <c r="H5" s="137">
        <f t="shared" si="0"/>
        <v>13000</v>
      </c>
      <c r="I5" s="137">
        <v>18000</v>
      </c>
      <c r="J5" s="143" t="str">
        <f t="shared" si="1"/>
        <v>NOT ACHIVED</v>
      </c>
    </row>
    <row r="6" spans="1:10" x14ac:dyDescent="0.25">
      <c r="A6" s="144" t="s">
        <v>16</v>
      </c>
      <c r="B6" s="138">
        <v>1000</v>
      </c>
      <c r="C6" s="138">
        <v>900</v>
      </c>
      <c r="D6" s="138">
        <v>1800</v>
      </c>
      <c r="E6" s="138">
        <v>5000</v>
      </c>
      <c r="F6" s="138">
        <v>1400</v>
      </c>
      <c r="G6" s="138">
        <v>1200</v>
      </c>
      <c r="H6" s="138">
        <f t="shared" si="0"/>
        <v>11300</v>
      </c>
      <c r="I6" s="138">
        <v>10000</v>
      </c>
      <c r="J6" s="145" t="str">
        <f t="shared" si="1"/>
        <v>TARGET ACHIVED</v>
      </c>
    </row>
    <row r="7" spans="1:10" x14ac:dyDescent="0.25">
      <c r="A7" s="142" t="s">
        <v>13</v>
      </c>
      <c r="B7" s="137">
        <v>500</v>
      </c>
      <c r="C7" s="137">
        <v>1000</v>
      </c>
      <c r="D7" s="137">
        <v>2300</v>
      </c>
      <c r="E7" s="137">
        <v>8000</v>
      </c>
      <c r="F7" s="137">
        <v>1700</v>
      </c>
      <c r="G7" s="137">
        <v>1400</v>
      </c>
      <c r="H7" s="137">
        <f t="shared" si="0"/>
        <v>14900</v>
      </c>
      <c r="I7" s="137">
        <v>12000</v>
      </c>
      <c r="J7" s="143" t="str">
        <f t="shared" si="1"/>
        <v>TARGET ACHIVED</v>
      </c>
    </row>
    <row r="8" spans="1:10" x14ac:dyDescent="0.25">
      <c r="A8" s="144" t="s">
        <v>12</v>
      </c>
      <c r="B8" s="138">
        <v>800</v>
      </c>
      <c r="C8" s="138">
        <v>500</v>
      </c>
      <c r="D8" s="138">
        <v>2400</v>
      </c>
      <c r="E8" s="138">
        <v>1900</v>
      </c>
      <c r="F8" s="138">
        <v>1800</v>
      </c>
      <c r="G8" s="138">
        <v>1800</v>
      </c>
      <c r="H8" s="138">
        <f t="shared" si="0"/>
        <v>9200</v>
      </c>
      <c r="I8" s="138">
        <v>10000</v>
      </c>
      <c r="J8" s="145" t="str">
        <f t="shared" si="1"/>
        <v>NOT ACHIVED</v>
      </c>
    </row>
    <row r="9" spans="1:10" x14ac:dyDescent="0.25">
      <c r="A9" s="142" t="s">
        <v>97</v>
      </c>
      <c r="B9" s="137">
        <v>1200</v>
      </c>
      <c r="C9" s="137">
        <v>1400</v>
      </c>
      <c r="D9" s="137">
        <v>1500</v>
      </c>
      <c r="E9" s="137">
        <v>700</v>
      </c>
      <c r="F9" s="137">
        <v>2500</v>
      </c>
      <c r="G9" s="137">
        <v>7000</v>
      </c>
      <c r="H9" s="137">
        <f t="shared" si="0"/>
        <v>14300</v>
      </c>
      <c r="I9" s="137">
        <v>12000</v>
      </c>
      <c r="J9" s="143" t="str">
        <f t="shared" si="1"/>
        <v>TARGET ACHIVED</v>
      </c>
    </row>
    <row r="10" spans="1:10" x14ac:dyDescent="0.25">
      <c r="A10" s="144" t="s">
        <v>98</v>
      </c>
      <c r="B10" s="138">
        <v>1500</v>
      </c>
      <c r="C10" s="138">
        <v>1800</v>
      </c>
      <c r="D10" s="138">
        <v>1800</v>
      </c>
      <c r="E10" s="138">
        <v>1800</v>
      </c>
      <c r="F10" s="138">
        <v>300</v>
      </c>
      <c r="G10" s="138">
        <v>1500</v>
      </c>
      <c r="H10" s="138">
        <f t="shared" si="0"/>
        <v>8700</v>
      </c>
      <c r="I10" s="138">
        <v>10000</v>
      </c>
      <c r="J10" s="145" t="str">
        <f t="shared" si="1"/>
        <v>NOT ACHIVED</v>
      </c>
    </row>
    <row r="11" spans="1:10" x14ac:dyDescent="0.25">
      <c r="A11" s="142" t="s">
        <v>99</v>
      </c>
      <c r="B11" s="137">
        <v>1800</v>
      </c>
      <c r="C11" s="137">
        <v>2500</v>
      </c>
      <c r="D11" s="137">
        <v>1700</v>
      </c>
      <c r="E11" s="137">
        <v>1500</v>
      </c>
      <c r="F11" s="137">
        <v>2800</v>
      </c>
      <c r="G11" s="137">
        <v>1800</v>
      </c>
      <c r="H11" s="137">
        <f t="shared" si="0"/>
        <v>12100</v>
      </c>
      <c r="I11" s="137">
        <v>12000</v>
      </c>
      <c r="J11" s="143" t="str">
        <f t="shared" si="1"/>
        <v>TARGET ACHIVED</v>
      </c>
    </row>
    <row r="12" spans="1:10" x14ac:dyDescent="0.25">
      <c r="A12" s="144" t="s">
        <v>100</v>
      </c>
      <c r="B12" s="138">
        <v>200</v>
      </c>
      <c r="C12" s="138">
        <v>3000</v>
      </c>
      <c r="D12" s="138">
        <v>1900</v>
      </c>
      <c r="E12" s="138">
        <v>200</v>
      </c>
      <c r="F12" s="138">
        <v>1500</v>
      </c>
      <c r="G12" s="138">
        <v>3000</v>
      </c>
      <c r="H12" s="138">
        <f t="shared" si="0"/>
        <v>9800</v>
      </c>
      <c r="I12" s="138">
        <v>10000</v>
      </c>
      <c r="J12" s="145" t="str">
        <f t="shared" si="1"/>
        <v>NOT ACHIVED</v>
      </c>
    </row>
    <row r="13" spans="1:10" x14ac:dyDescent="0.25">
      <c r="A13" s="146" t="s">
        <v>101</v>
      </c>
      <c r="B13" s="139">
        <v>1600</v>
      </c>
      <c r="C13" s="139">
        <v>1200</v>
      </c>
      <c r="D13" s="139">
        <v>2000</v>
      </c>
      <c r="E13" s="139">
        <v>800</v>
      </c>
      <c r="F13" s="139">
        <v>1700</v>
      </c>
      <c r="G13" s="139">
        <v>800</v>
      </c>
      <c r="H13" s="139">
        <f t="shared" si="0"/>
        <v>8100</v>
      </c>
      <c r="I13" s="139">
        <v>10000</v>
      </c>
      <c r="J13" s="147" t="str">
        <f t="shared" si="1"/>
        <v>NOT ACHIVED</v>
      </c>
    </row>
    <row r="14" spans="1:10" x14ac:dyDescent="0.25">
      <c r="A14" s="15" t="s">
        <v>102</v>
      </c>
      <c r="B14" s="122">
        <f>COUNTA(A3:A13)</f>
        <v>11</v>
      </c>
      <c r="C14" s="123"/>
      <c r="D14" s="123"/>
      <c r="E14" s="123"/>
      <c r="F14" s="123"/>
      <c r="G14" s="123"/>
      <c r="H14" s="123"/>
      <c r="I14" s="123"/>
      <c r="J14" s="14"/>
    </row>
    <row r="15" spans="1:10" x14ac:dyDescent="0.25">
      <c r="A15" s="15"/>
      <c r="B15" s="123"/>
      <c r="C15" s="123"/>
      <c r="D15" s="123"/>
      <c r="E15" s="123"/>
      <c r="F15" s="123"/>
      <c r="G15" s="123"/>
      <c r="H15" s="123"/>
      <c r="I15" s="123"/>
      <c r="J15" s="14"/>
    </row>
    <row r="16" spans="1:10" x14ac:dyDescent="0.25">
      <c r="A16" s="15" t="s">
        <v>103</v>
      </c>
      <c r="B16" s="123"/>
      <c r="C16" s="123"/>
      <c r="D16" s="123"/>
      <c r="E16" s="123"/>
      <c r="F16" s="123"/>
      <c r="G16" s="123"/>
      <c r="H16" s="123"/>
      <c r="I16" s="123"/>
      <c r="J16" s="14"/>
    </row>
    <row r="17" spans="1:10" x14ac:dyDescent="0.25">
      <c r="A17" s="140" t="s">
        <v>86</v>
      </c>
      <c r="B17" s="46" t="s">
        <v>94</v>
      </c>
      <c r="C17" s="148" t="s">
        <v>95</v>
      </c>
      <c r="D17" s="149"/>
      <c r="E17" s="123"/>
      <c r="F17" s="123"/>
      <c r="G17" s="123"/>
      <c r="H17" s="123"/>
      <c r="I17" s="123"/>
      <c r="J17" s="14"/>
    </row>
    <row r="18" spans="1:10" x14ac:dyDescent="0.25">
      <c r="A18" s="150" t="s">
        <v>97</v>
      </c>
      <c r="B18" s="151">
        <f>VLOOKUP(A18,$A$2:$J$13,9,0)</f>
        <v>12000</v>
      </c>
      <c r="C18" s="151" t="str">
        <f>VLOOKUP(A18,$A$2:$J$13,10,0)</f>
        <v>TARGET ACHIVED</v>
      </c>
      <c r="D18" s="123"/>
      <c r="E18" s="123"/>
      <c r="F18" s="123"/>
      <c r="G18" s="123"/>
      <c r="H18" s="123"/>
      <c r="I18" s="123"/>
      <c r="J18" s="14"/>
    </row>
    <row r="19" spans="1:10" x14ac:dyDescent="0.25">
      <c r="A19" s="40" t="s">
        <v>72</v>
      </c>
      <c r="B19" s="151">
        <f t="array" ref="B19:C19">VLOOKUP($A$19,$A$2:$J$13,{9,10},0)</f>
        <v>18000</v>
      </c>
      <c r="C19" s="151" t="str">
        <v>NOT ACHIVED</v>
      </c>
      <c r="D19" s="123"/>
      <c r="E19" s="123"/>
      <c r="F19" s="123"/>
      <c r="G19" s="123"/>
      <c r="H19" s="123"/>
      <c r="I19" s="123"/>
      <c r="J19" s="14"/>
    </row>
    <row r="20" spans="1:10" x14ac:dyDescent="0.25">
      <c r="A20" s="40" t="s">
        <v>16</v>
      </c>
      <c r="B20" s="151">
        <f t="array" ref="B20:C20">VLOOKUP(A$20,$A$2:$J$13,{9,10},0)</f>
        <v>10000</v>
      </c>
      <c r="C20" s="151" t="str">
        <v>TARGET ACHIVED</v>
      </c>
      <c r="D20" s="123"/>
      <c r="E20" s="123"/>
      <c r="F20" s="123"/>
      <c r="G20" s="123"/>
      <c r="H20" s="123"/>
      <c r="I20" s="123"/>
      <c r="J20" s="14"/>
    </row>
    <row r="21" spans="1:10" x14ac:dyDescent="0.25">
      <c r="A21" s="40" t="s">
        <v>12</v>
      </c>
      <c r="B21" s="151">
        <f t="array" ref="B21:C21">VLOOKUP($A$21,$A$2:$J$13,{9,10},0)</f>
        <v>10000</v>
      </c>
      <c r="C21" s="151" t="str">
        <v>NOT ACHIVED</v>
      </c>
      <c r="D21" s="123"/>
      <c r="E21" s="123"/>
      <c r="F21" s="123"/>
      <c r="G21" s="123"/>
      <c r="H21" s="123"/>
      <c r="I21" s="123"/>
      <c r="J21" s="14"/>
    </row>
    <row r="22" spans="1:10" x14ac:dyDescent="0.25">
      <c r="A22" s="15"/>
      <c r="B22" s="123"/>
      <c r="C22" s="123"/>
      <c r="D22" s="123"/>
      <c r="E22" s="123"/>
      <c r="F22" s="123"/>
      <c r="G22" s="123"/>
      <c r="H22" s="123"/>
      <c r="I22" s="123"/>
      <c r="J22" s="14"/>
    </row>
    <row r="23" spans="1:10" x14ac:dyDescent="0.25">
      <c r="A23" s="18" t="s">
        <v>104</v>
      </c>
      <c r="B23" s="19"/>
      <c r="C23" s="73">
        <f>COUNTIF(J3:J13,"target achived")</f>
        <v>4</v>
      </c>
      <c r="D23" s="20"/>
      <c r="E23" s="19"/>
      <c r="F23" s="19"/>
      <c r="G23" s="19"/>
      <c r="H23" s="19"/>
      <c r="I23" s="19"/>
      <c r="J23" s="21"/>
    </row>
  </sheetData>
  <mergeCells count="1">
    <mergeCell ref="A1:J1"/>
  </mergeCells>
  <conditionalFormatting sqref="J3:J13">
    <cfRule type="containsText" dxfId="21" priority="3" operator="containsText" text="tar">
      <formula>NOT(ISERROR(SEARCH("tar",J3)))</formula>
    </cfRule>
    <cfRule type="containsText" dxfId="20" priority="4" operator="containsText" text="not ">
      <formula>NOT(ISERROR(SEARCH("not ",J3)))</formula>
    </cfRule>
  </conditionalFormatting>
  <conditionalFormatting sqref="C18:C21">
    <cfRule type="containsText" dxfId="19" priority="1" operator="containsText" text="tar">
      <formula>NOT(ISERROR(SEARCH("tar",C18)))</formula>
    </cfRule>
    <cfRule type="containsText" dxfId="18" priority="2" operator="containsText" text="not">
      <formula>NOT(ISERROR(SEARCH("not",C18)))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AECE-1403-4E7A-BD19-D4A78486E5D5}">
  <dimension ref="A1:K23"/>
  <sheetViews>
    <sheetView workbookViewId="0">
      <selection activeCell="A23" sqref="A23"/>
    </sheetView>
  </sheetViews>
  <sheetFormatPr defaultRowHeight="13.8" x14ac:dyDescent="0.25"/>
  <cols>
    <col min="1" max="1" width="33.33203125" style="1" bestFit="1" customWidth="1"/>
    <col min="2" max="2" width="14" style="1" customWidth="1"/>
    <col min="3" max="3" width="15.88671875" style="1" customWidth="1"/>
    <col min="4" max="16384" width="8.88671875" style="1"/>
  </cols>
  <sheetData>
    <row r="1" spans="1:11" x14ac:dyDescent="0.25">
      <c r="A1" s="106" t="s">
        <v>105</v>
      </c>
      <c r="B1" s="107"/>
      <c r="C1" s="108"/>
    </row>
    <row r="2" spans="1:11" x14ac:dyDescent="0.25">
      <c r="A2" s="158" t="s">
        <v>29</v>
      </c>
      <c r="B2" s="159" t="s">
        <v>106</v>
      </c>
      <c r="C2" s="160" t="s">
        <v>107</v>
      </c>
    </row>
    <row r="3" spans="1:11" x14ac:dyDescent="0.25">
      <c r="A3" s="156" t="s">
        <v>108</v>
      </c>
      <c r="B3" s="48">
        <v>42370</v>
      </c>
      <c r="C3" s="157">
        <v>800</v>
      </c>
      <c r="G3" s="49"/>
      <c r="K3" s="49"/>
    </row>
    <row r="4" spans="1:11" x14ac:dyDescent="0.25">
      <c r="A4" s="156" t="s">
        <v>109</v>
      </c>
      <c r="B4" s="48">
        <v>42502</v>
      </c>
      <c r="C4" s="157">
        <v>2000</v>
      </c>
      <c r="G4" s="49"/>
      <c r="K4" s="49"/>
    </row>
    <row r="5" spans="1:11" x14ac:dyDescent="0.25">
      <c r="A5" s="156" t="s">
        <v>108</v>
      </c>
      <c r="B5" s="48">
        <v>42508</v>
      </c>
      <c r="C5" s="157">
        <v>500</v>
      </c>
      <c r="G5" s="49"/>
      <c r="K5" s="49"/>
    </row>
    <row r="6" spans="1:11" x14ac:dyDescent="0.25">
      <c r="A6" s="156" t="s">
        <v>110</v>
      </c>
      <c r="B6" s="48">
        <v>42510</v>
      </c>
      <c r="C6" s="157">
        <v>800</v>
      </c>
      <c r="G6" s="49"/>
      <c r="K6" s="49"/>
    </row>
    <row r="7" spans="1:11" x14ac:dyDescent="0.25">
      <c r="A7" s="156" t="s">
        <v>110</v>
      </c>
      <c r="B7" s="48">
        <v>42500</v>
      </c>
      <c r="C7" s="157">
        <v>1000</v>
      </c>
      <c r="G7" s="49"/>
      <c r="K7" s="49"/>
    </row>
    <row r="8" spans="1:11" x14ac:dyDescent="0.25">
      <c r="A8" s="156" t="s">
        <v>111</v>
      </c>
      <c r="B8" s="48">
        <v>42498</v>
      </c>
      <c r="C8" s="157">
        <v>1000</v>
      </c>
      <c r="G8" s="49"/>
      <c r="K8" s="49"/>
    </row>
    <row r="9" spans="1:11" x14ac:dyDescent="0.25">
      <c r="A9" s="156" t="s">
        <v>109</v>
      </c>
      <c r="B9" s="48">
        <v>42500</v>
      </c>
      <c r="C9" s="157">
        <v>1200</v>
      </c>
      <c r="G9" s="49"/>
      <c r="K9" s="49"/>
    </row>
    <row r="10" spans="1:11" x14ac:dyDescent="0.25">
      <c r="A10" s="156" t="s">
        <v>109</v>
      </c>
      <c r="B10" s="48">
        <v>42515</v>
      </c>
      <c r="C10" s="157">
        <v>1500</v>
      </c>
      <c r="G10" s="49"/>
      <c r="K10" s="49"/>
    </row>
    <row r="11" spans="1:11" x14ac:dyDescent="0.25">
      <c r="A11" s="156" t="s">
        <v>112</v>
      </c>
      <c r="B11" s="48">
        <v>42561</v>
      </c>
      <c r="C11" s="157">
        <v>1800</v>
      </c>
      <c r="G11" s="49"/>
      <c r="K11" s="49"/>
    </row>
    <row r="12" spans="1:11" x14ac:dyDescent="0.25">
      <c r="A12" s="156" t="s">
        <v>109</v>
      </c>
      <c r="B12" s="48">
        <v>42379</v>
      </c>
      <c r="C12" s="157">
        <v>2000</v>
      </c>
      <c r="G12" s="49"/>
      <c r="K12" s="49"/>
    </row>
    <row r="13" spans="1:11" x14ac:dyDescent="0.25">
      <c r="A13" s="9" t="s">
        <v>112</v>
      </c>
      <c r="B13" s="161">
        <v>42536</v>
      </c>
      <c r="C13" s="6">
        <v>1500</v>
      </c>
      <c r="G13" s="49"/>
      <c r="K13" s="49"/>
    </row>
    <row r="14" spans="1:11" x14ac:dyDescent="0.25">
      <c r="A14" s="9" t="s">
        <v>278</v>
      </c>
      <c r="B14" s="161"/>
      <c r="C14" s="6"/>
    </row>
    <row r="15" spans="1:11" x14ac:dyDescent="0.25">
      <c r="A15" s="15" t="s">
        <v>108</v>
      </c>
      <c r="B15" s="16">
        <f>COUNTIF(A3:A12,"brakes")</f>
        <v>2</v>
      </c>
      <c r="C15" s="14"/>
    </row>
    <row r="16" spans="1:11" x14ac:dyDescent="0.25">
      <c r="A16" s="15" t="s">
        <v>109</v>
      </c>
      <c r="B16" s="16">
        <f>COUNTIF(A3:A12,"tyres")</f>
        <v>4</v>
      </c>
      <c r="C16" s="14"/>
    </row>
    <row r="17" spans="1:3" x14ac:dyDescent="0.25">
      <c r="A17" s="15" t="s">
        <v>111</v>
      </c>
      <c r="B17" s="16">
        <f>COUNTIF(A3:A12,"window")</f>
        <v>1</v>
      </c>
      <c r="C17" s="14"/>
    </row>
    <row r="18" spans="1:3" x14ac:dyDescent="0.25">
      <c r="A18" s="15"/>
      <c r="C18" s="14"/>
    </row>
    <row r="19" spans="1:3" x14ac:dyDescent="0.25">
      <c r="A19" s="15" t="s">
        <v>279</v>
      </c>
      <c r="B19" s="122">
        <f>COUNTIF(C3:C12,"&gt;1000")</f>
        <v>5</v>
      </c>
      <c r="C19" s="14"/>
    </row>
    <row r="20" spans="1:3" x14ac:dyDescent="0.25">
      <c r="A20" s="15" t="s">
        <v>113</v>
      </c>
      <c r="B20" s="122">
        <f>COUNTIF(C3:C12,"&gt;=1000")</f>
        <v>7</v>
      </c>
      <c r="C20" s="14"/>
    </row>
    <row r="21" spans="1:3" x14ac:dyDescent="0.25">
      <c r="A21" s="15"/>
      <c r="C21" s="14"/>
    </row>
    <row r="22" spans="1:3" x14ac:dyDescent="0.25">
      <c r="A22" s="15" t="s">
        <v>280</v>
      </c>
      <c r="B22" s="16">
        <f>SUMIF(A3:A12,"window",C3:C12)</f>
        <v>1000</v>
      </c>
      <c r="C22" s="14"/>
    </row>
    <row r="23" spans="1:3" x14ac:dyDescent="0.25">
      <c r="A23" s="18" t="s">
        <v>114</v>
      </c>
      <c r="B23" s="20">
        <f>SUMIF(A3:A12,"brakes",C3:C12)</f>
        <v>1300</v>
      </c>
      <c r="C23" s="21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CC9C-F208-4E57-9AE0-8EEA2247B85C}">
  <dimension ref="A1:H22"/>
  <sheetViews>
    <sheetView workbookViewId="0">
      <selection activeCell="J6" sqref="J6"/>
    </sheetView>
  </sheetViews>
  <sheetFormatPr defaultRowHeight="13.8" x14ac:dyDescent="0.25"/>
  <cols>
    <col min="1" max="3" width="8.88671875" style="1"/>
    <col min="4" max="4" width="10" style="1" bestFit="1" customWidth="1"/>
    <col min="5" max="5" width="11.44140625" style="1" customWidth="1"/>
    <col min="6" max="6" width="8.88671875" style="1"/>
    <col min="7" max="7" width="14.5546875" style="1" bestFit="1" customWidth="1"/>
    <col min="8" max="16384" width="8.88671875" style="1"/>
  </cols>
  <sheetData>
    <row r="1" spans="1:8" x14ac:dyDescent="0.25">
      <c r="A1" s="109" t="s">
        <v>115</v>
      </c>
      <c r="B1" s="110"/>
      <c r="C1" s="110"/>
      <c r="D1" s="110"/>
      <c r="E1" s="110"/>
      <c r="F1" s="110"/>
      <c r="G1" s="110"/>
      <c r="H1" s="110"/>
    </row>
    <row r="2" spans="1:8" x14ac:dyDescent="0.25">
      <c r="A2" s="115" t="s">
        <v>2</v>
      </c>
      <c r="B2" s="116"/>
      <c r="C2" s="115" t="s">
        <v>47</v>
      </c>
      <c r="D2" s="117"/>
      <c r="E2" s="116"/>
      <c r="F2" s="115" t="s">
        <v>95</v>
      </c>
      <c r="G2" s="117"/>
      <c r="H2" s="116"/>
    </row>
    <row r="3" spans="1:8" x14ac:dyDescent="0.25">
      <c r="A3" s="118" t="s">
        <v>59</v>
      </c>
      <c r="B3" s="119"/>
      <c r="C3" s="29" t="s">
        <v>116</v>
      </c>
      <c r="D3" s="29" t="s">
        <v>4</v>
      </c>
      <c r="E3" s="29" t="s">
        <v>6</v>
      </c>
      <c r="F3" s="29" t="s">
        <v>8</v>
      </c>
      <c r="G3" s="29" t="s">
        <v>117</v>
      </c>
      <c r="H3" s="29" t="s">
        <v>10</v>
      </c>
    </row>
    <row r="4" spans="1:8" x14ac:dyDescent="0.25">
      <c r="A4" s="113" t="s">
        <v>118</v>
      </c>
      <c r="B4" s="114"/>
      <c r="C4" s="33">
        <v>80</v>
      </c>
      <c r="D4" s="33">
        <v>75</v>
      </c>
      <c r="E4" s="33">
        <v>85</v>
      </c>
      <c r="F4" s="33">
        <f t="shared" ref="F4:F13" si="0">SUM(C4:E4)</f>
        <v>240</v>
      </c>
      <c r="G4" s="33">
        <f t="shared" ref="G4:G13" si="1">F4/300*100</f>
        <v>80</v>
      </c>
      <c r="H4" s="33" t="str">
        <f t="shared" ref="H4:H13" si="2">IF(G4&gt;70,"Excellent",IF(G4&gt;50,"Good","Bad"))</f>
        <v>Excellent</v>
      </c>
    </row>
    <row r="5" spans="1:8" x14ac:dyDescent="0.25">
      <c r="A5" s="111" t="s">
        <v>119</v>
      </c>
      <c r="B5" s="112"/>
      <c r="C5" s="31">
        <v>50</v>
      </c>
      <c r="D5" s="31">
        <v>30</v>
      </c>
      <c r="E5" s="31">
        <v>40</v>
      </c>
      <c r="F5" s="31">
        <f t="shared" si="0"/>
        <v>120</v>
      </c>
      <c r="G5" s="31">
        <f t="shared" si="1"/>
        <v>40</v>
      </c>
      <c r="H5" s="31" t="str">
        <f t="shared" si="2"/>
        <v>Bad</v>
      </c>
    </row>
    <row r="6" spans="1:8" x14ac:dyDescent="0.25">
      <c r="A6" s="113" t="s">
        <v>120</v>
      </c>
      <c r="B6" s="114"/>
      <c r="C6" s="33">
        <v>60</v>
      </c>
      <c r="D6" s="33">
        <v>70</v>
      </c>
      <c r="E6" s="33" t="s">
        <v>121</v>
      </c>
      <c r="F6" s="33">
        <f t="shared" si="0"/>
        <v>130</v>
      </c>
      <c r="G6" s="51">
        <f t="shared" si="1"/>
        <v>43.333333333333336</v>
      </c>
      <c r="H6" s="33" t="str">
        <f t="shared" si="2"/>
        <v>Bad</v>
      </c>
    </row>
    <row r="7" spans="1:8" x14ac:dyDescent="0.25">
      <c r="A7" s="111" t="s">
        <v>122</v>
      </c>
      <c r="B7" s="112"/>
      <c r="C7" s="31">
        <v>90</v>
      </c>
      <c r="D7" s="31">
        <v>85</v>
      </c>
      <c r="E7" s="31">
        <v>95</v>
      </c>
      <c r="F7" s="31">
        <f t="shared" si="0"/>
        <v>270</v>
      </c>
      <c r="G7" s="31">
        <f t="shared" si="1"/>
        <v>90</v>
      </c>
      <c r="H7" s="31" t="str">
        <f t="shared" si="2"/>
        <v>Excellent</v>
      </c>
    </row>
    <row r="8" spans="1:8" x14ac:dyDescent="0.25">
      <c r="A8" s="113" t="s">
        <v>123</v>
      </c>
      <c r="B8" s="114"/>
      <c r="C8" s="33">
        <v>20</v>
      </c>
      <c r="D8" s="33">
        <v>30</v>
      </c>
      <c r="E8" s="33" t="s">
        <v>121</v>
      </c>
      <c r="F8" s="33">
        <f t="shared" si="0"/>
        <v>50</v>
      </c>
      <c r="G8" s="51">
        <f t="shared" si="1"/>
        <v>16.666666666666664</v>
      </c>
      <c r="H8" s="33" t="str">
        <f t="shared" si="2"/>
        <v>Bad</v>
      </c>
    </row>
    <row r="9" spans="1:8" x14ac:dyDescent="0.25">
      <c r="A9" s="111" t="s">
        <v>124</v>
      </c>
      <c r="B9" s="112"/>
      <c r="C9" s="31">
        <v>40</v>
      </c>
      <c r="D9" s="31">
        <v>60</v>
      </c>
      <c r="E9" s="31">
        <v>80</v>
      </c>
      <c r="F9" s="31">
        <f t="shared" si="0"/>
        <v>180</v>
      </c>
      <c r="G9" s="31">
        <f t="shared" si="1"/>
        <v>60</v>
      </c>
      <c r="H9" s="31" t="str">
        <f t="shared" si="2"/>
        <v>Good</v>
      </c>
    </row>
    <row r="10" spans="1:8" x14ac:dyDescent="0.25">
      <c r="A10" s="113" t="s">
        <v>125</v>
      </c>
      <c r="B10" s="114"/>
      <c r="C10" s="33">
        <v>10</v>
      </c>
      <c r="D10" s="33">
        <v>90</v>
      </c>
      <c r="E10" s="33">
        <v>80</v>
      </c>
      <c r="F10" s="33">
        <f t="shared" si="0"/>
        <v>180</v>
      </c>
      <c r="G10" s="33">
        <f t="shared" si="1"/>
        <v>60</v>
      </c>
      <c r="H10" s="33" t="str">
        <f t="shared" si="2"/>
        <v>Good</v>
      </c>
    </row>
    <row r="11" spans="1:8" x14ac:dyDescent="0.25">
      <c r="A11" s="111" t="s">
        <v>126</v>
      </c>
      <c r="B11" s="112"/>
      <c r="C11" s="31">
        <v>80</v>
      </c>
      <c r="D11" s="31">
        <v>70</v>
      </c>
      <c r="E11" s="31">
        <v>60</v>
      </c>
      <c r="F11" s="31">
        <f t="shared" si="0"/>
        <v>210</v>
      </c>
      <c r="G11" s="31">
        <f t="shared" si="1"/>
        <v>70</v>
      </c>
      <c r="H11" s="31" t="str">
        <f t="shared" si="2"/>
        <v>Good</v>
      </c>
    </row>
    <row r="12" spans="1:8" x14ac:dyDescent="0.25">
      <c r="A12" s="113" t="s">
        <v>127</v>
      </c>
      <c r="B12" s="114"/>
      <c r="C12" s="33">
        <v>30</v>
      </c>
      <c r="D12" s="33">
        <v>10</v>
      </c>
      <c r="E12" s="33">
        <v>20</v>
      </c>
      <c r="F12" s="33">
        <f t="shared" si="0"/>
        <v>60</v>
      </c>
      <c r="G12" s="33">
        <f t="shared" si="1"/>
        <v>20</v>
      </c>
      <c r="H12" s="33" t="str">
        <f t="shared" si="2"/>
        <v>Bad</v>
      </c>
    </row>
    <row r="13" spans="1:8" x14ac:dyDescent="0.25">
      <c r="A13" s="111" t="s">
        <v>128</v>
      </c>
      <c r="B13" s="112"/>
      <c r="C13" s="31">
        <v>10</v>
      </c>
      <c r="D13" s="31">
        <v>20</v>
      </c>
      <c r="E13" s="31">
        <v>30</v>
      </c>
      <c r="F13" s="31">
        <f t="shared" si="0"/>
        <v>60</v>
      </c>
      <c r="G13" s="31">
        <f t="shared" si="1"/>
        <v>20</v>
      </c>
      <c r="H13" s="31" t="str">
        <f t="shared" si="2"/>
        <v>Bad</v>
      </c>
    </row>
    <row r="14" spans="1:8" x14ac:dyDescent="0.25">
      <c r="A14" s="1" t="s">
        <v>129</v>
      </c>
      <c r="C14" s="16">
        <f>COUNTA(A4:B13)</f>
        <v>10</v>
      </c>
    </row>
    <row r="16" spans="1:8" x14ac:dyDescent="0.25">
      <c r="A16" s="1" t="s">
        <v>130</v>
      </c>
      <c r="F16" s="16">
        <f>COUNTIF(G4:G13,"&gt;50")</f>
        <v>5</v>
      </c>
    </row>
    <row r="18" spans="1:4" x14ac:dyDescent="0.25">
      <c r="A18" s="1" t="s">
        <v>131</v>
      </c>
      <c r="D18" s="16">
        <f ca="1">SUMIF(A4:B13,"bob",F4:F13)</f>
        <v>120</v>
      </c>
    </row>
    <row r="19" spans="1:4" x14ac:dyDescent="0.25">
      <c r="A19" s="1" t="s">
        <v>132</v>
      </c>
      <c r="D19" s="16">
        <f ca="1">SUMIF(A4:B13,"eric",F4:F13)</f>
        <v>50</v>
      </c>
    </row>
    <row r="20" spans="1:4" x14ac:dyDescent="0.25">
      <c r="D20" s="16"/>
    </row>
    <row r="21" spans="1:4" x14ac:dyDescent="0.25">
      <c r="A21" s="1" t="s">
        <v>281</v>
      </c>
      <c r="D21" s="16">
        <f>COUNTIF(H4:H13,"good")</f>
        <v>3</v>
      </c>
    </row>
    <row r="22" spans="1:4" x14ac:dyDescent="0.25">
      <c r="A22" s="1" t="s">
        <v>133</v>
      </c>
      <c r="D22" s="16">
        <f>COUNTIF(H4:H13,"bad")</f>
        <v>5</v>
      </c>
    </row>
  </sheetData>
  <mergeCells count="15">
    <mergeCell ref="A4:B4"/>
    <mergeCell ref="A1:H1"/>
    <mergeCell ref="A2:B2"/>
    <mergeCell ref="C2:E2"/>
    <mergeCell ref="F2:H2"/>
    <mergeCell ref="A3:B3"/>
    <mergeCell ref="A11:B11"/>
    <mergeCell ref="A12:B12"/>
    <mergeCell ref="A13:B13"/>
    <mergeCell ref="A5:B5"/>
    <mergeCell ref="A6:B6"/>
    <mergeCell ref="A7:B7"/>
    <mergeCell ref="A8:B8"/>
    <mergeCell ref="A9:B9"/>
    <mergeCell ref="A10:B10"/>
  </mergeCells>
  <conditionalFormatting sqref="H4:H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4" operator="containsText" text="bad">
      <formula>NOT(ISERROR(SEARCH("bad",H4)))</formula>
    </cfRule>
    <cfRule type="containsText" dxfId="1" priority="2" operator="containsText" text="g">
      <formula>NOT(ISERROR(SEARCH("g",H4)))</formula>
    </cfRule>
    <cfRule type="containsText" dxfId="2" priority="1" operator="containsText" text="ex">
      <formula>NOT(ISERROR(SEARCH("ex",H4)))</formula>
    </cfRule>
  </conditionalFormatting>
  <conditionalFormatting sqref="E8 E6">
    <cfRule type="containsText" dxfId="6" priority="3" operator="containsText" text="Absent">
      <formula>NOT(ISERROR(SEARCH("Absent",E6)))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AF92-2DD5-4962-B785-F27E2A099025}">
  <dimension ref="A1:F34"/>
  <sheetViews>
    <sheetView workbookViewId="0">
      <selection activeCell="C35" sqref="C35"/>
    </sheetView>
  </sheetViews>
  <sheetFormatPr defaultRowHeight="13.8" x14ac:dyDescent="0.25"/>
  <cols>
    <col min="1" max="1" width="22.5546875" style="1" customWidth="1"/>
    <col min="2" max="2" width="16.77734375" style="1" bestFit="1" customWidth="1"/>
    <col min="3" max="3" width="14.88671875" style="1" bestFit="1" customWidth="1"/>
    <col min="4" max="4" width="17.5546875" style="1" customWidth="1"/>
    <col min="5" max="5" width="13.44140625" style="1" bestFit="1" customWidth="1"/>
    <col min="6" max="6" width="13.109375" style="1" customWidth="1"/>
    <col min="7" max="16384" width="8.88671875" style="1"/>
  </cols>
  <sheetData>
    <row r="1" spans="1:6" x14ac:dyDescent="0.25">
      <c r="A1" s="106" t="s">
        <v>134</v>
      </c>
      <c r="B1" s="107"/>
      <c r="C1" s="107"/>
      <c r="D1" s="107"/>
      <c r="E1" s="107"/>
      <c r="F1" s="108"/>
    </row>
    <row r="2" spans="1:6" x14ac:dyDescent="0.25">
      <c r="A2" s="47" t="s">
        <v>135</v>
      </c>
      <c r="B2" s="47" t="s">
        <v>136</v>
      </c>
      <c r="C2" s="47" t="s">
        <v>137</v>
      </c>
      <c r="D2" s="47" t="s">
        <v>60</v>
      </c>
      <c r="E2" s="47" t="s">
        <v>138</v>
      </c>
      <c r="F2" s="47" t="s">
        <v>139</v>
      </c>
    </row>
    <row r="3" spans="1:6" x14ac:dyDescent="0.25">
      <c r="A3" s="52" t="s">
        <v>140</v>
      </c>
      <c r="B3" s="52" t="s">
        <v>141</v>
      </c>
      <c r="C3" s="52" t="s">
        <v>142</v>
      </c>
      <c r="D3" s="52" t="s">
        <v>143</v>
      </c>
      <c r="E3" s="53">
        <v>39474</v>
      </c>
      <c r="F3" s="54">
        <v>73500</v>
      </c>
    </row>
    <row r="4" spans="1:6" x14ac:dyDescent="0.25">
      <c r="A4" s="55" t="s">
        <v>144</v>
      </c>
      <c r="B4" s="55" t="s">
        <v>145</v>
      </c>
      <c r="C4" s="55" t="s">
        <v>146</v>
      </c>
      <c r="D4" s="55" t="s">
        <v>147</v>
      </c>
      <c r="E4" s="56">
        <v>39508</v>
      </c>
      <c r="F4" s="57">
        <v>80000</v>
      </c>
    </row>
    <row r="5" spans="1:6" x14ac:dyDescent="0.25">
      <c r="A5" s="52" t="s">
        <v>148</v>
      </c>
      <c r="B5" s="52" t="s">
        <v>149</v>
      </c>
      <c r="C5" s="52" t="s">
        <v>150</v>
      </c>
      <c r="D5" s="52" t="s">
        <v>143</v>
      </c>
      <c r="E5" s="53">
        <v>39554</v>
      </c>
      <c r="F5" s="54">
        <v>95000</v>
      </c>
    </row>
    <row r="6" spans="1:6" x14ac:dyDescent="0.25">
      <c r="A6" s="55" t="s">
        <v>151</v>
      </c>
      <c r="B6" s="55" t="s">
        <v>152</v>
      </c>
      <c r="C6" s="55" t="s">
        <v>153</v>
      </c>
      <c r="D6" s="55" t="s">
        <v>143</v>
      </c>
      <c r="E6" s="56">
        <v>39571</v>
      </c>
      <c r="F6" s="57">
        <v>105000</v>
      </c>
    </row>
    <row r="7" spans="1:6" x14ac:dyDescent="0.25">
      <c r="A7" s="52" t="s">
        <v>154</v>
      </c>
      <c r="B7" s="52" t="s">
        <v>155</v>
      </c>
      <c r="C7" s="52" t="s">
        <v>156</v>
      </c>
      <c r="D7" s="52" t="s">
        <v>157</v>
      </c>
      <c r="E7" s="53">
        <v>39640</v>
      </c>
      <c r="F7" s="54">
        <v>90000</v>
      </c>
    </row>
    <row r="8" spans="1:6" x14ac:dyDescent="0.25">
      <c r="A8" s="55" t="s">
        <v>158</v>
      </c>
      <c r="B8" s="55" t="s">
        <v>159</v>
      </c>
      <c r="C8" s="55" t="s">
        <v>160</v>
      </c>
      <c r="D8" s="55" t="s">
        <v>82</v>
      </c>
      <c r="E8" s="56">
        <v>39646</v>
      </c>
      <c r="F8" s="57">
        <v>60000</v>
      </c>
    </row>
    <row r="9" spans="1:6" x14ac:dyDescent="0.25">
      <c r="A9" s="52" t="s">
        <v>161</v>
      </c>
      <c r="B9" s="52" t="s">
        <v>162</v>
      </c>
      <c r="C9" s="52" t="s">
        <v>163</v>
      </c>
      <c r="D9" s="52" t="s">
        <v>82</v>
      </c>
      <c r="E9" s="53">
        <v>39726</v>
      </c>
      <c r="F9" s="54">
        <v>87000</v>
      </c>
    </row>
    <row r="10" spans="1:6" x14ac:dyDescent="0.25">
      <c r="A10" s="55" t="s">
        <v>164</v>
      </c>
      <c r="B10" s="55" t="s">
        <v>165</v>
      </c>
      <c r="C10" s="55" t="s">
        <v>166</v>
      </c>
      <c r="D10" s="55" t="s">
        <v>157</v>
      </c>
      <c r="E10" s="56">
        <v>39749</v>
      </c>
      <c r="F10" s="57">
        <v>104000</v>
      </c>
    </row>
    <row r="11" spans="1:6" x14ac:dyDescent="0.25">
      <c r="A11" s="52" t="s">
        <v>167</v>
      </c>
      <c r="B11" s="52" t="s">
        <v>168</v>
      </c>
      <c r="C11" s="52" t="s">
        <v>169</v>
      </c>
      <c r="D11" s="52" t="s">
        <v>143</v>
      </c>
      <c r="E11" s="53">
        <v>39757</v>
      </c>
      <c r="F11" s="54">
        <v>380050</v>
      </c>
    </row>
    <row r="12" spans="1:6" x14ac:dyDescent="0.25">
      <c r="A12" s="55" t="s">
        <v>170</v>
      </c>
      <c r="B12" s="55" t="s">
        <v>171</v>
      </c>
      <c r="C12" s="55" t="s">
        <v>172</v>
      </c>
      <c r="D12" s="55" t="s">
        <v>143</v>
      </c>
      <c r="E12" s="56">
        <v>39761</v>
      </c>
      <c r="F12" s="57">
        <v>93000</v>
      </c>
    </row>
    <row r="13" spans="1:6" x14ac:dyDescent="0.25">
      <c r="A13" s="52" t="s">
        <v>173</v>
      </c>
      <c r="B13" s="52" t="s">
        <v>174</v>
      </c>
      <c r="C13" s="52" t="s">
        <v>175</v>
      </c>
      <c r="D13" s="52" t="s">
        <v>147</v>
      </c>
      <c r="E13" s="53">
        <v>39856</v>
      </c>
      <c r="F13" s="54">
        <v>180000</v>
      </c>
    </row>
    <row r="14" spans="1:6" x14ac:dyDescent="0.25">
      <c r="A14" s="55" t="s">
        <v>176</v>
      </c>
      <c r="B14" s="55" t="s">
        <v>177</v>
      </c>
      <c r="C14" s="55" t="s">
        <v>178</v>
      </c>
      <c r="D14" s="55" t="s">
        <v>143</v>
      </c>
      <c r="E14" s="56">
        <v>39891</v>
      </c>
      <c r="F14" s="57">
        <v>100000</v>
      </c>
    </row>
    <row r="15" spans="1:6" x14ac:dyDescent="0.25">
      <c r="A15" s="52" t="s">
        <v>179</v>
      </c>
      <c r="B15" s="52" t="s">
        <v>180</v>
      </c>
      <c r="C15" s="52" t="s">
        <v>181</v>
      </c>
      <c r="D15" s="52" t="s">
        <v>182</v>
      </c>
      <c r="E15" s="53">
        <v>39916</v>
      </c>
      <c r="F15" s="54">
        <v>136000</v>
      </c>
    </row>
    <row r="16" spans="1:6" x14ac:dyDescent="0.25">
      <c r="A16" s="55" t="s">
        <v>183</v>
      </c>
      <c r="B16" s="55" t="s">
        <v>184</v>
      </c>
      <c r="C16" s="55" t="s">
        <v>185</v>
      </c>
      <c r="D16" s="55" t="s">
        <v>143</v>
      </c>
      <c r="E16" s="56">
        <v>39931</v>
      </c>
      <c r="F16" s="57">
        <v>68000</v>
      </c>
    </row>
    <row r="18" spans="1:6" x14ac:dyDescent="0.25">
      <c r="A18" s="58" t="s">
        <v>135</v>
      </c>
      <c r="B18" s="47" t="s">
        <v>136</v>
      </c>
      <c r="C18" s="47" t="s">
        <v>137</v>
      </c>
      <c r="D18" s="47" t="s">
        <v>60</v>
      </c>
      <c r="E18" s="47" t="s">
        <v>138</v>
      </c>
      <c r="F18" s="47" t="s">
        <v>139</v>
      </c>
    </row>
    <row r="19" spans="1:6" x14ac:dyDescent="0.25">
      <c r="A19" s="59" t="s">
        <v>140</v>
      </c>
      <c r="B19" s="1" t="str">
        <f>VLOOKUP($A19,$A$2:$F$16,COLUMNS($A$18:B18),0)</f>
        <v>Faith K. Macias</v>
      </c>
      <c r="C19" s="1" t="str">
        <f>VLOOKUP($A19,$A$2:$F$16,COLUMNS($A$18:C18),0)</f>
        <v>845-04-3962</v>
      </c>
      <c r="D19" s="1" t="str">
        <f>VLOOKUP($A19,$A$2:$F$16,COLUMNS($A$18:D18),0)</f>
        <v>Marketing</v>
      </c>
      <c r="E19" s="49">
        <f>VLOOKUP($A19,$A$2:$F$16,COLUMNS($A$18:E18),0)</f>
        <v>39474</v>
      </c>
      <c r="F19" s="14">
        <f>VLOOKUP($A19,$A$2:$F$16,COLUMNS($A$18:F18),0)</f>
        <v>73500</v>
      </c>
    </row>
    <row r="20" spans="1:6" x14ac:dyDescent="0.25">
      <c r="A20" s="60" t="s">
        <v>144</v>
      </c>
      <c r="B20" s="1" t="str">
        <f>VLOOKUP($A20,$A$2:$F$16,COLUMNS($A$18:B19),0)</f>
        <v>Lucian Q. Franklin</v>
      </c>
      <c r="C20" s="1" t="str">
        <f>VLOOKUP($A20,$A$2:$F$16,COLUMNS($A$18:C19),0)</f>
        <v>345-28-4935</v>
      </c>
      <c r="D20" s="1" t="str">
        <f>VLOOKUP($A20,$A$2:$F$16,COLUMNS($A$18:D19),0)</f>
        <v>It/Is</v>
      </c>
      <c r="E20" s="49">
        <f>VLOOKUP($A20,$A$2:$F$16,COLUMNS($A$18:E19),0)</f>
        <v>39508</v>
      </c>
      <c r="F20" s="14">
        <f>VLOOKUP($A20,$A$2:$F$16,COLUMNS($A$18:F19),0)</f>
        <v>80000</v>
      </c>
    </row>
    <row r="21" spans="1:6" x14ac:dyDescent="0.25">
      <c r="A21" s="59" t="s">
        <v>148</v>
      </c>
      <c r="B21" s="1" t="str">
        <f>VLOOKUP($A21,$A$2:$F$16,COLUMNS($A$18:B20),0)</f>
        <v>Blaze V. Bridges</v>
      </c>
      <c r="C21" s="1" t="str">
        <f>VLOOKUP($A21,$A$2:$F$16,COLUMNS($A$18:C20),0)</f>
        <v>503-53-8350</v>
      </c>
      <c r="D21" s="1" t="str">
        <f>VLOOKUP($A21,$A$2:$F$16,COLUMNS($A$18:D20),0)</f>
        <v>Marketing</v>
      </c>
      <c r="E21" s="49">
        <f>VLOOKUP($A21,$A$2:$F$16,COLUMNS($A$18:E20),0)</f>
        <v>39554</v>
      </c>
      <c r="F21" s="14">
        <f>VLOOKUP($A21,$A$2:$F$16,COLUMNS($A$18:F20),0)</f>
        <v>95000</v>
      </c>
    </row>
    <row r="22" spans="1:6" x14ac:dyDescent="0.25">
      <c r="A22" s="15"/>
      <c r="F22" s="14"/>
    </row>
    <row r="23" spans="1:6" x14ac:dyDescent="0.25">
      <c r="A23" s="15" t="s">
        <v>186</v>
      </c>
      <c r="C23" s="16">
        <f>COUNTA(B3:B16)</f>
        <v>14</v>
      </c>
      <c r="F23" s="14"/>
    </row>
    <row r="24" spans="1:6" x14ac:dyDescent="0.25">
      <c r="A24" s="15"/>
      <c r="F24" s="14"/>
    </row>
    <row r="25" spans="1:6" x14ac:dyDescent="0.25">
      <c r="A25" s="15" t="s">
        <v>187</v>
      </c>
      <c r="F25" s="14"/>
    </row>
    <row r="26" spans="1:6" x14ac:dyDescent="0.25">
      <c r="A26" s="40" t="s">
        <v>188</v>
      </c>
      <c r="B26" s="16">
        <f>COUNTIF(D3:D16,"finance")</f>
        <v>2</v>
      </c>
      <c r="C26" s="17" t="s">
        <v>189</v>
      </c>
      <c r="D26" s="16">
        <f>COUNTIF(D3:D16,"marketing")</f>
        <v>7</v>
      </c>
      <c r="F26" s="14"/>
    </row>
    <row r="27" spans="1:6" x14ac:dyDescent="0.25">
      <c r="A27" s="15" t="s">
        <v>190</v>
      </c>
      <c r="F27" s="14"/>
    </row>
    <row r="28" spans="1:6" x14ac:dyDescent="0.25">
      <c r="A28" s="15" t="s">
        <v>191</v>
      </c>
      <c r="F28" s="14"/>
    </row>
    <row r="29" spans="1:6" x14ac:dyDescent="0.25">
      <c r="A29" s="47" t="s">
        <v>136</v>
      </c>
      <c r="B29" s="47" t="s">
        <v>137</v>
      </c>
      <c r="C29" s="47" t="s">
        <v>60</v>
      </c>
      <c r="D29" s="47" t="s">
        <v>139</v>
      </c>
      <c r="F29" s="14"/>
    </row>
    <row r="30" spans="1:6" x14ac:dyDescent="0.25">
      <c r="A30" s="61" t="s">
        <v>155</v>
      </c>
      <c r="B30" s="17" t="str">
        <f>VLOOKUP(A30,B2:F16,2,0)</f>
        <v>245-18-5890</v>
      </c>
      <c r="C30" s="17" t="str">
        <f>VLOOKUP(A30,B2:F16,3,0)</f>
        <v>Engineering</v>
      </c>
      <c r="D30" s="16">
        <f>VLOOKUP(A30,B2:F16,5,0)</f>
        <v>90000</v>
      </c>
      <c r="F30" s="14"/>
    </row>
    <row r="31" spans="1:6" x14ac:dyDescent="0.25">
      <c r="A31" s="15"/>
      <c r="F31" s="14"/>
    </row>
    <row r="32" spans="1:6" x14ac:dyDescent="0.25">
      <c r="A32" s="18" t="s">
        <v>267</v>
      </c>
      <c r="B32" s="19"/>
      <c r="C32" s="19"/>
      <c r="D32" s="20">
        <f>SUMIF(D3:D16,"marketing",F3:F16)</f>
        <v>914550</v>
      </c>
      <c r="E32" s="19"/>
      <c r="F32" s="21"/>
    </row>
    <row r="34" spans="1:1" x14ac:dyDescent="0.25">
      <c r="A34" s="1" t="s">
        <v>190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D1CB-8987-4BF4-835F-8F136A23BFFA}">
  <dimension ref="A1:J17"/>
  <sheetViews>
    <sheetView workbookViewId="0">
      <selection activeCell="D18" sqref="D18"/>
    </sheetView>
  </sheetViews>
  <sheetFormatPr defaultRowHeight="13.8" x14ac:dyDescent="0.25"/>
  <cols>
    <col min="1" max="1" width="14.6640625" style="1" customWidth="1"/>
    <col min="2" max="9" width="8.88671875" style="1"/>
    <col min="10" max="10" width="10.44140625" style="1" bestFit="1" customWidth="1"/>
    <col min="11" max="16384" width="8.88671875" style="1"/>
  </cols>
  <sheetData>
    <row r="1" spans="1:10" x14ac:dyDescent="0.25">
      <c r="A1" s="106" t="s">
        <v>192</v>
      </c>
      <c r="B1" s="107"/>
      <c r="C1" s="107"/>
      <c r="D1" s="107"/>
      <c r="E1" s="107"/>
      <c r="F1" s="107"/>
      <c r="G1" s="107"/>
      <c r="H1" s="107"/>
      <c r="I1" s="107"/>
      <c r="J1" s="108"/>
    </row>
    <row r="2" spans="1:10" x14ac:dyDescent="0.25">
      <c r="A2" s="62" t="s">
        <v>193</v>
      </c>
      <c r="B2" s="62" t="s">
        <v>194</v>
      </c>
      <c r="C2" s="62" t="s">
        <v>195</v>
      </c>
      <c r="D2" s="62" t="s">
        <v>196</v>
      </c>
      <c r="E2" s="62" t="s">
        <v>197</v>
      </c>
      <c r="F2" s="62" t="s">
        <v>198</v>
      </c>
      <c r="G2" s="62" t="s">
        <v>199</v>
      </c>
      <c r="H2" s="62" t="s">
        <v>200</v>
      </c>
      <c r="I2" s="62" t="s">
        <v>201</v>
      </c>
      <c r="J2" s="62" t="s">
        <v>202</v>
      </c>
    </row>
    <row r="3" spans="1:10" x14ac:dyDescent="0.25">
      <c r="A3" s="63" t="s">
        <v>203</v>
      </c>
      <c r="B3" s="64">
        <v>2773</v>
      </c>
      <c r="C3" s="64">
        <v>17462</v>
      </c>
      <c r="D3" s="64">
        <v>5954</v>
      </c>
      <c r="E3" s="64">
        <v>1348</v>
      </c>
      <c r="F3" s="64">
        <v>28158</v>
      </c>
      <c r="G3" s="64">
        <v>28799</v>
      </c>
      <c r="H3" s="64">
        <v>25415</v>
      </c>
      <c r="I3" s="64">
        <v>17227</v>
      </c>
      <c r="J3" s="65">
        <f t="shared" ref="J3:J10" si="0">SUM(B3:I3)</f>
        <v>127136</v>
      </c>
    </row>
    <row r="4" spans="1:10" x14ac:dyDescent="0.25">
      <c r="A4" s="32" t="s">
        <v>204</v>
      </c>
      <c r="B4" s="66">
        <v>12908</v>
      </c>
      <c r="C4" s="66">
        <v>3083</v>
      </c>
      <c r="D4" s="66">
        <v>24492</v>
      </c>
      <c r="E4" s="66">
        <v>5825</v>
      </c>
      <c r="F4" s="66">
        <v>1080</v>
      </c>
      <c r="G4" s="66">
        <v>2188</v>
      </c>
      <c r="H4" s="66">
        <v>11087</v>
      </c>
      <c r="I4" s="66">
        <v>15544</v>
      </c>
      <c r="J4" s="67">
        <f t="shared" si="0"/>
        <v>76207</v>
      </c>
    </row>
    <row r="5" spans="1:10" x14ac:dyDescent="0.25">
      <c r="A5" s="63" t="s">
        <v>205</v>
      </c>
      <c r="B5" s="64">
        <v>6554</v>
      </c>
      <c r="C5" s="64">
        <v>14262</v>
      </c>
      <c r="D5" s="64">
        <v>8377</v>
      </c>
      <c r="E5" s="64">
        <v>24982</v>
      </c>
      <c r="F5" s="64">
        <v>12184</v>
      </c>
      <c r="G5" s="64">
        <v>6430</v>
      </c>
      <c r="H5" s="64">
        <v>21159</v>
      </c>
      <c r="I5" s="64">
        <v>18597</v>
      </c>
      <c r="J5" s="65">
        <f t="shared" si="0"/>
        <v>112545</v>
      </c>
    </row>
    <row r="6" spans="1:10" x14ac:dyDescent="0.25">
      <c r="A6" s="32" t="s">
        <v>206</v>
      </c>
      <c r="B6" s="66">
        <v>28913</v>
      </c>
      <c r="C6" s="66">
        <v>1437</v>
      </c>
      <c r="D6" s="66">
        <v>20019</v>
      </c>
      <c r="E6" s="66">
        <v>13026</v>
      </c>
      <c r="F6" s="66">
        <v>26952</v>
      </c>
      <c r="G6" s="66">
        <v>27076</v>
      </c>
      <c r="H6" s="66">
        <v>7040</v>
      </c>
      <c r="I6" s="66">
        <v>10884</v>
      </c>
      <c r="J6" s="67">
        <f t="shared" si="0"/>
        <v>135347</v>
      </c>
    </row>
    <row r="7" spans="1:10" x14ac:dyDescent="0.25">
      <c r="A7" s="63" t="s">
        <v>207</v>
      </c>
      <c r="B7" s="64">
        <v>4768</v>
      </c>
      <c r="C7" s="64">
        <v>7622</v>
      </c>
      <c r="D7" s="64">
        <v>28918</v>
      </c>
      <c r="E7" s="64">
        <v>27141</v>
      </c>
      <c r="F7" s="64">
        <v>3578</v>
      </c>
      <c r="G7" s="64">
        <v>10092</v>
      </c>
      <c r="H7" s="64">
        <v>15207</v>
      </c>
      <c r="I7" s="64">
        <v>12771</v>
      </c>
      <c r="J7" s="65">
        <f t="shared" si="0"/>
        <v>110097</v>
      </c>
    </row>
    <row r="8" spans="1:10" x14ac:dyDescent="0.25">
      <c r="A8" s="32" t="s">
        <v>208</v>
      </c>
      <c r="B8" s="66">
        <v>13390</v>
      </c>
      <c r="C8" s="66">
        <v>3611</v>
      </c>
      <c r="D8" s="66">
        <v>6226</v>
      </c>
      <c r="E8" s="66">
        <v>27567</v>
      </c>
      <c r="F8" s="66">
        <v>29962</v>
      </c>
      <c r="G8" s="66">
        <v>2967</v>
      </c>
      <c r="H8" s="66">
        <v>5740</v>
      </c>
      <c r="I8" s="66">
        <v>2137</v>
      </c>
      <c r="J8" s="67">
        <f t="shared" si="0"/>
        <v>91600</v>
      </c>
    </row>
    <row r="9" spans="1:10" x14ac:dyDescent="0.25">
      <c r="A9" s="63" t="s">
        <v>209</v>
      </c>
      <c r="B9" s="64">
        <v>17585</v>
      </c>
      <c r="C9" s="64">
        <v>28508</v>
      </c>
      <c r="D9" s="64">
        <v>9614</v>
      </c>
      <c r="E9" s="64">
        <v>17110</v>
      </c>
      <c r="F9" s="64">
        <v>12143</v>
      </c>
      <c r="G9" s="64">
        <v>7365</v>
      </c>
      <c r="H9" s="64">
        <v>24185</v>
      </c>
      <c r="I9" s="64">
        <v>1643</v>
      </c>
      <c r="J9" s="65">
        <f t="shared" si="0"/>
        <v>118153</v>
      </c>
    </row>
    <row r="10" spans="1:10" x14ac:dyDescent="0.25">
      <c r="A10" s="32" t="s">
        <v>210</v>
      </c>
      <c r="B10" s="66">
        <v>22579</v>
      </c>
      <c r="C10" s="66">
        <v>16301</v>
      </c>
      <c r="D10" s="66">
        <v>6469</v>
      </c>
      <c r="E10" s="66">
        <v>22050</v>
      </c>
      <c r="F10" s="66">
        <v>8740</v>
      </c>
      <c r="G10" s="66">
        <v>18806</v>
      </c>
      <c r="H10" s="66">
        <v>3334</v>
      </c>
      <c r="I10" s="66">
        <v>3597</v>
      </c>
      <c r="J10" s="67">
        <f t="shared" si="0"/>
        <v>101876</v>
      </c>
    </row>
    <row r="11" spans="1:10" x14ac:dyDescent="0.25">
      <c r="A11" s="15"/>
      <c r="C11" s="14"/>
    </row>
    <row r="12" spans="1:10" x14ac:dyDescent="0.25">
      <c r="A12" s="15" t="s">
        <v>211</v>
      </c>
      <c r="C12" s="50">
        <f>COUNTA(A3:A10)</f>
        <v>8</v>
      </c>
    </row>
    <row r="13" spans="1:10" x14ac:dyDescent="0.25">
      <c r="A13" s="15"/>
      <c r="C13" s="14"/>
    </row>
    <row r="14" spans="1:10" ht="14.4" thickBot="1" x14ac:dyDescent="0.3">
      <c r="A14" s="15" t="s">
        <v>212</v>
      </c>
      <c r="C14" s="14"/>
    </row>
    <row r="15" spans="1:10" x14ac:dyDescent="0.25">
      <c r="A15" s="68" t="s">
        <v>193</v>
      </c>
      <c r="B15" s="69" t="s">
        <v>196</v>
      </c>
      <c r="C15" s="70" t="s">
        <v>200</v>
      </c>
    </row>
    <row r="16" spans="1:10" x14ac:dyDescent="0.25">
      <c r="A16" s="71" t="s">
        <v>205</v>
      </c>
      <c r="B16" s="36">
        <f>VLOOKUP(A16,A2:J10,4,0)</f>
        <v>8377</v>
      </c>
      <c r="C16" s="72">
        <f>VLOOKUP(A16,A2:J10,7,0)</f>
        <v>6430</v>
      </c>
    </row>
    <row r="17" spans="1:3" x14ac:dyDescent="0.25">
      <c r="A17" s="18" t="s">
        <v>210</v>
      </c>
      <c r="B17" s="73">
        <f>VLOOKUP(A17,A2:J10,4,0)</f>
        <v>6469</v>
      </c>
      <c r="C17" s="74">
        <f>VLOOKUP(A17,A2:J10,7,0)</f>
        <v>18806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8133-AD29-4BC4-9E2D-AD14D15638DD}">
  <dimension ref="A1:L38"/>
  <sheetViews>
    <sheetView workbookViewId="0">
      <selection activeCell="J8" sqref="J8"/>
    </sheetView>
  </sheetViews>
  <sheetFormatPr defaultRowHeight="13.8" x14ac:dyDescent="0.25"/>
  <cols>
    <col min="1" max="2" width="8.88671875" style="1"/>
    <col min="3" max="3" width="11.5546875" style="1" customWidth="1"/>
    <col min="4" max="4" width="11.88671875" style="1" customWidth="1"/>
    <col min="5" max="7" width="8.88671875" style="1"/>
    <col min="8" max="8" width="21.109375" style="1" customWidth="1"/>
    <col min="9" max="9" width="19.5546875" style="1" customWidth="1"/>
    <col min="10" max="16384" width="8.88671875" style="1"/>
  </cols>
  <sheetData>
    <row r="1" spans="1:12" x14ac:dyDescent="0.25">
      <c r="A1" s="106" t="s">
        <v>213</v>
      </c>
      <c r="B1" s="107"/>
      <c r="C1" s="107"/>
      <c r="D1" s="107"/>
      <c r="E1" s="108"/>
      <c r="G1" s="1" t="s">
        <v>214</v>
      </c>
    </row>
    <row r="2" spans="1:12" x14ac:dyDescent="0.25">
      <c r="A2" s="75" t="s">
        <v>215</v>
      </c>
      <c r="B2" s="75" t="s">
        <v>216</v>
      </c>
      <c r="C2" s="75" t="s">
        <v>217</v>
      </c>
      <c r="D2" s="75" t="s">
        <v>218</v>
      </c>
      <c r="E2" s="75" t="s">
        <v>93</v>
      </c>
      <c r="G2" s="17" t="s">
        <v>219</v>
      </c>
      <c r="H2" s="16">
        <f>COUNTIF(A3:A38,"spring")</f>
        <v>18</v>
      </c>
      <c r="I2" s="17" t="s">
        <v>220</v>
      </c>
      <c r="J2" s="16">
        <f>COUNTIF(A3:A38,"fall")</f>
        <v>18</v>
      </c>
      <c r="L2" s="1" t="str">
        <f>UPPER(F2)</f>
        <v/>
      </c>
    </row>
    <row r="3" spans="1:12" x14ac:dyDescent="0.25">
      <c r="A3" s="76" t="s">
        <v>221</v>
      </c>
      <c r="B3" s="77">
        <v>1998</v>
      </c>
      <c r="C3" s="76" t="s">
        <v>222</v>
      </c>
      <c r="D3" s="76" t="s">
        <v>223</v>
      </c>
      <c r="E3" s="77">
        <v>554536</v>
      </c>
      <c r="G3" s="1" t="s">
        <v>224</v>
      </c>
    </row>
    <row r="4" spans="1:12" x14ac:dyDescent="0.25">
      <c r="A4" s="32" t="s">
        <v>221</v>
      </c>
      <c r="B4" s="78">
        <v>1998</v>
      </c>
      <c r="C4" s="32" t="s">
        <v>225</v>
      </c>
      <c r="D4" s="32" t="s">
        <v>223</v>
      </c>
      <c r="E4" s="78">
        <v>540643</v>
      </c>
      <c r="G4" s="17" t="s">
        <v>226</v>
      </c>
      <c r="H4" s="17"/>
      <c r="I4" s="16">
        <f>COUNTIFS(A3:A38,"fall",D3:D38,"california")</f>
        <v>6</v>
      </c>
    </row>
    <row r="5" spans="1:12" x14ac:dyDescent="0.25">
      <c r="A5" s="76" t="s">
        <v>221</v>
      </c>
      <c r="B5" s="77">
        <v>1998</v>
      </c>
      <c r="C5" s="76" t="s">
        <v>227</v>
      </c>
      <c r="D5" s="76" t="s">
        <v>223</v>
      </c>
      <c r="E5" s="77">
        <v>577548</v>
      </c>
      <c r="G5" s="17" t="s">
        <v>228</v>
      </c>
      <c r="H5" s="17"/>
      <c r="I5" s="16">
        <f>COUNTIFS(A3:A38,"fall",D3:D38,"washington")</f>
        <v>6</v>
      </c>
    </row>
    <row r="6" spans="1:12" x14ac:dyDescent="0.25">
      <c r="A6" s="32" t="s">
        <v>221</v>
      </c>
      <c r="B6" s="78">
        <v>1998</v>
      </c>
      <c r="C6" s="32" t="s">
        <v>229</v>
      </c>
      <c r="D6" s="32" t="s">
        <v>223</v>
      </c>
      <c r="E6" s="78">
        <v>455905</v>
      </c>
    </row>
    <row r="7" spans="1:12" x14ac:dyDescent="0.25">
      <c r="A7" s="76" t="s">
        <v>221</v>
      </c>
      <c r="B7" s="77">
        <v>1998</v>
      </c>
      <c r="C7" s="76" t="s">
        <v>230</v>
      </c>
      <c r="D7" s="76" t="s">
        <v>223</v>
      </c>
      <c r="E7" s="77">
        <v>490871</v>
      </c>
      <c r="G7" s="1" t="s">
        <v>231</v>
      </c>
    </row>
    <row r="8" spans="1:12" x14ac:dyDescent="0.25">
      <c r="A8" s="32" t="s">
        <v>221</v>
      </c>
      <c r="B8" s="78">
        <v>1998</v>
      </c>
      <c r="C8" s="32" t="s">
        <v>232</v>
      </c>
      <c r="D8" s="32" t="s">
        <v>223</v>
      </c>
      <c r="E8" s="78">
        <v>446383</v>
      </c>
      <c r="G8" s="17" t="s">
        <v>233</v>
      </c>
      <c r="H8" s="17"/>
      <c r="I8" s="17"/>
      <c r="J8" s="16">
        <f>SUMIFS(E3:E38,A3:A38,"spring",D3:D38,"washington")</f>
        <v>2891339</v>
      </c>
    </row>
    <row r="9" spans="1:12" x14ac:dyDescent="0.25">
      <c r="A9" s="76" t="s">
        <v>221</v>
      </c>
      <c r="B9" s="77">
        <v>1998</v>
      </c>
      <c r="C9" s="76" t="s">
        <v>222</v>
      </c>
      <c r="D9" s="76" t="s">
        <v>234</v>
      </c>
      <c r="E9" s="77">
        <v>457726</v>
      </c>
      <c r="G9" s="17" t="s">
        <v>235</v>
      </c>
      <c r="H9" s="17"/>
      <c r="I9" s="17"/>
      <c r="J9" s="16">
        <f>SUMIFS(E3:E38,A3:A38,"spring",D3:D38,"california")</f>
        <v>2895913</v>
      </c>
    </row>
    <row r="10" spans="1:12" x14ac:dyDescent="0.25">
      <c r="A10" s="32" t="s">
        <v>221</v>
      </c>
      <c r="B10" s="78">
        <v>1998</v>
      </c>
      <c r="C10" s="32" t="s">
        <v>225</v>
      </c>
      <c r="D10" s="32" t="s">
        <v>234</v>
      </c>
      <c r="E10" s="78">
        <v>347696</v>
      </c>
    </row>
    <row r="11" spans="1:12" x14ac:dyDescent="0.25">
      <c r="A11" s="76" t="s">
        <v>221</v>
      </c>
      <c r="B11" s="77">
        <v>1998</v>
      </c>
      <c r="C11" s="76" t="s">
        <v>227</v>
      </c>
      <c r="D11" s="76" t="s">
        <v>234</v>
      </c>
      <c r="E11" s="77">
        <v>384541</v>
      </c>
      <c r="G11" s="1" t="s">
        <v>236</v>
      </c>
      <c r="J11" s="16">
        <f>COUNTIFS(A3:A38,"spring",D3:D38,"washington")</f>
        <v>6</v>
      </c>
    </row>
    <row r="12" spans="1:12" x14ac:dyDescent="0.25">
      <c r="A12" s="32" t="s">
        <v>221</v>
      </c>
      <c r="B12" s="78">
        <v>1998</v>
      </c>
      <c r="C12" s="32" t="s">
        <v>229</v>
      </c>
      <c r="D12" s="32" t="s">
        <v>234</v>
      </c>
      <c r="E12" s="78">
        <v>386420</v>
      </c>
    </row>
    <row r="13" spans="1:12" x14ac:dyDescent="0.25">
      <c r="A13" s="76" t="s">
        <v>221</v>
      </c>
      <c r="B13" s="77">
        <v>1998</v>
      </c>
      <c r="C13" s="76" t="s">
        <v>230</v>
      </c>
      <c r="D13" s="76" t="s">
        <v>234</v>
      </c>
      <c r="E13" s="77">
        <v>370970</v>
      </c>
    </row>
    <row r="14" spans="1:12" x14ac:dyDescent="0.25">
      <c r="A14" s="32" t="s">
        <v>221</v>
      </c>
      <c r="B14" s="78">
        <v>1998</v>
      </c>
      <c r="C14" s="32" t="s">
        <v>232</v>
      </c>
      <c r="D14" s="32" t="s">
        <v>234</v>
      </c>
      <c r="E14" s="78">
        <v>430754</v>
      </c>
    </row>
    <row r="15" spans="1:12" x14ac:dyDescent="0.25">
      <c r="A15" s="76" t="s">
        <v>221</v>
      </c>
      <c r="B15" s="77">
        <v>1998</v>
      </c>
      <c r="C15" s="76" t="s">
        <v>222</v>
      </c>
      <c r="D15" s="76" t="s">
        <v>237</v>
      </c>
      <c r="E15" s="77">
        <v>500847</v>
      </c>
    </row>
    <row r="16" spans="1:12" x14ac:dyDescent="0.25">
      <c r="A16" s="32" t="s">
        <v>221</v>
      </c>
      <c r="B16" s="78">
        <v>1998</v>
      </c>
      <c r="C16" s="32" t="s">
        <v>225</v>
      </c>
      <c r="D16" s="32" t="s">
        <v>237</v>
      </c>
      <c r="E16" s="78">
        <v>507070</v>
      </c>
    </row>
    <row r="17" spans="1:5" x14ac:dyDescent="0.25">
      <c r="A17" s="76" t="s">
        <v>221</v>
      </c>
      <c r="B17" s="77">
        <v>1998</v>
      </c>
      <c r="C17" s="76" t="s">
        <v>227</v>
      </c>
      <c r="D17" s="76" t="s">
        <v>237</v>
      </c>
      <c r="E17" s="77">
        <v>482346</v>
      </c>
    </row>
    <row r="18" spans="1:5" x14ac:dyDescent="0.25">
      <c r="A18" s="32" t="s">
        <v>221</v>
      </c>
      <c r="B18" s="78">
        <v>1998</v>
      </c>
      <c r="C18" s="32" t="s">
        <v>229</v>
      </c>
      <c r="D18" s="32" t="s">
        <v>237</v>
      </c>
      <c r="E18" s="78">
        <v>608713</v>
      </c>
    </row>
    <row r="19" spans="1:5" x14ac:dyDescent="0.25">
      <c r="A19" s="76" t="s">
        <v>221</v>
      </c>
      <c r="B19" s="77">
        <v>1998</v>
      </c>
      <c r="C19" s="76" t="s">
        <v>230</v>
      </c>
      <c r="D19" s="76" t="s">
        <v>237</v>
      </c>
      <c r="E19" s="77">
        <v>150000</v>
      </c>
    </row>
    <row r="20" spans="1:5" x14ac:dyDescent="0.25">
      <c r="A20" s="32" t="s">
        <v>221</v>
      </c>
      <c r="B20" s="78">
        <v>1998</v>
      </c>
      <c r="C20" s="32" t="s">
        <v>232</v>
      </c>
      <c r="D20" s="32" t="s">
        <v>237</v>
      </c>
      <c r="E20" s="78">
        <v>500649</v>
      </c>
    </row>
    <row r="21" spans="1:5" x14ac:dyDescent="0.25">
      <c r="A21" s="76" t="s">
        <v>238</v>
      </c>
      <c r="B21" s="77">
        <v>1998</v>
      </c>
      <c r="C21" s="76" t="s">
        <v>222</v>
      </c>
      <c r="D21" s="76" t="s">
        <v>223</v>
      </c>
      <c r="E21" s="77">
        <v>545780</v>
      </c>
    </row>
    <row r="22" spans="1:5" x14ac:dyDescent="0.25">
      <c r="A22" s="32" t="s">
        <v>238</v>
      </c>
      <c r="B22" s="78">
        <v>1998</v>
      </c>
      <c r="C22" s="32" t="s">
        <v>225</v>
      </c>
      <c r="D22" s="32" t="s">
        <v>223</v>
      </c>
      <c r="E22" s="78">
        <v>440644</v>
      </c>
    </row>
    <row r="23" spans="1:5" x14ac:dyDescent="0.25">
      <c r="A23" s="76" t="s">
        <v>238</v>
      </c>
      <c r="B23" s="77">
        <v>1998</v>
      </c>
      <c r="C23" s="76" t="s">
        <v>227</v>
      </c>
      <c r="D23" s="76" t="s">
        <v>223</v>
      </c>
      <c r="E23" s="77">
        <v>580359</v>
      </c>
    </row>
    <row r="24" spans="1:5" x14ac:dyDescent="0.25">
      <c r="A24" s="32" t="s">
        <v>238</v>
      </c>
      <c r="B24" s="78">
        <v>1998</v>
      </c>
      <c r="C24" s="32" t="s">
        <v>229</v>
      </c>
      <c r="D24" s="32" t="s">
        <v>223</v>
      </c>
      <c r="E24" s="78">
        <v>536225</v>
      </c>
    </row>
    <row r="25" spans="1:5" x14ac:dyDescent="0.25">
      <c r="A25" s="76" t="s">
        <v>238</v>
      </c>
      <c r="B25" s="77">
        <v>1998</v>
      </c>
      <c r="C25" s="76" t="s">
        <v>230</v>
      </c>
      <c r="D25" s="76" t="s">
        <v>223</v>
      </c>
      <c r="E25" s="77">
        <v>414908</v>
      </c>
    </row>
    <row r="26" spans="1:5" x14ac:dyDescent="0.25">
      <c r="A26" s="32" t="s">
        <v>238</v>
      </c>
      <c r="B26" s="78">
        <v>1998</v>
      </c>
      <c r="C26" s="32" t="s">
        <v>232</v>
      </c>
      <c r="D26" s="32" t="s">
        <v>223</v>
      </c>
      <c r="E26" s="78">
        <v>377997</v>
      </c>
    </row>
    <row r="27" spans="1:5" x14ac:dyDescent="0.25">
      <c r="A27" s="76" t="s">
        <v>238</v>
      </c>
      <c r="B27" s="77">
        <v>1998</v>
      </c>
      <c r="C27" s="76" t="s">
        <v>222</v>
      </c>
      <c r="D27" s="76" t="s">
        <v>234</v>
      </c>
      <c r="E27" s="77">
        <v>331289</v>
      </c>
    </row>
    <row r="28" spans="1:5" x14ac:dyDescent="0.25">
      <c r="A28" s="32" t="s">
        <v>238</v>
      </c>
      <c r="B28" s="78">
        <v>1998</v>
      </c>
      <c r="C28" s="32" t="s">
        <v>225</v>
      </c>
      <c r="D28" s="32" t="s">
        <v>234</v>
      </c>
      <c r="E28" s="78">
        <v>384572</v>
      </c>
    </row>
    <row r="29" spans="1:5" x14ac:dyDescent="0.25">
      <c r="A29" s="76" t="s">
        <v>238</v>
      </c>
      <c r="B29" s="77">
        <v>1998</v>
      </c>
      <c r="C29" s="76" t="s">
        <v>227</v>
      </c>
      <c r="D29" s="76" t="s">
        <v>234</v>
      </c>
      <c r="E29" s="77">
        <v>365813</v>
      </c>
    </row>
    <row r="30" spans="1:5" x14ac:dyDescent="0.25">
      <c r="A30" s="32" t="s">
        <v>238</v>
      </c>
      <c r="B30" s="78">
        <v>1998</v>
      </c>
      <c r="C30" s="32" t="s">
        <v>229</v>
      </c>
      <c r="D30" s="32" t="s">
        <v>234</v>
      </c>
      <c r="E30" s="78">
        <v>396338</v>
      </c>
    </row>
    <row r="31" spans="1:5" x14ac:dyDescent="0.25">
      <c r="A31" s="76" t="s">
        <v>238</v>
      </c>
      <c r="B31" s="77">
        <v>1998</v>
      </c>
      <c r="C31" s="76" t="s">
        <v>230</v>
      </c>
      <c r="D31" s="76" t="s">
        <v>234</v>
      </c>
      <c r="E31" s="77">
        <v>453761</v>
      </c>
    </row>
    <row r="32" spans="1:5" x14ac:dyDescent="0.25">
      <c r="A32" s="32" t="s">
        <v>238</v>
      </c>
      <c r="B32" s="78">
        <v>1998</v>
      </c>
      <c r="C32" s="32" t="s">
        <v>232</v>
      </c>
      <c r="D32" s="32" t="s">
        <v>234</v>
      </c>
      <c r="E32" s="78">
        <v>356538</v>
      </c>
    </row>
    <row r="33" spans="1:5" x14ac:dyDescent="0.25">
      <c r="A33" s="76" t="s">
        <v>238</v>
      </c>
      <c r="B33" s="77">
        <v>1998</v>
      </c>
      <c r="C33" s="76" t="s">
        <v>222</v>
      </c>
      <c r="D33" s="76" t="s">
        <v>237</v>
      </c>
      <c r="E33" s="77">
        <v>606332</v>
      </c>
    </row>
    <row r="34" spans="1:5" x14ac:dyDescent="0.25">
      <c r="A34" s="32" t="s">
        <v>238</v>
      </c>
      <c r="B34" s="78">
        <v>1998</v>
      </c>
      <c r="C34" s="32" t="s">
        <v>225</v>
      </c>
      <c r="D34" s="32" t="s">
        <v>237</v>
      </c>
      <c r="E34" s="78">
        <v>535218</v>
      </c>
    </row>
    <row r="35" spans="1:5" x14ac:dyDescent="0.25">
      <c r="A35" s="76" t="s">
        <v>238</v>
      </c>
      <c r="B35" s="77">
        <v>1998</v>
      </c>
      <c r="C35" s="76" t="s">
        <v>227</v>
      </c>
      <c r="D35" s="76" t="s">
        <v>237</v>
      </c>
      <c r="E35" s="77">
        <v>493364</v>
      </c>
    </row>
    <row r="36" spans="1:5" x14ac:dyDescent="0.25">
      <c r="A36" s="32" t="s">
        <v>238</v>
      </c>
      <c r="B36" s="78">
        <v>1998</v>
      </c>
      <c r="C36" s="32" t="s">
        <v>229</v>
      </c>
      <c r="D36" s="32" t="s">
        <v>237</v>
      </c>
      <c r="E36" s="78">
        <v>559100</v>
      </c>
    </row>
    <row r="37" spans="1:5" x14ac:dyDescent="0.25">
      <c r="A37" s="76" t="s">
        <v>238</v>
      </c>
      <c r="B37" s="77">
        <v>1998</v>
      </c>
      <c r="C37" s="76" t="s">
        <v>230</v>
      </c>
      <c r="D37" s="76" t="s">
        <v>237</v>
      </c>
      <c r="E37" s="77">
        <v>220350</v>
      </c>
    </row>
    <row r="38" spans="1:5" x14ac:dyDescent="0.25">
      <c r="A38" s="32" t="s">
        <v>238</v>
      </c>
      <c r="B38" s="78">
        <v>1998</v>
      </c>
      <c r="C38" s="32" t="s">
        <v>232</v>
      </c>
      <c r="D38" s="32" t="s">
        <v>237</v>
      </c>
      <c r="E38" s="78">
        <v>476975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F20B-4BBE-433E-8AC2-3FD36E4CB6B9}">
  <dimension ref="A1:K32"/>
  <sheetViews>
    <sheetView workbookViewId="0">
      <selection activeCell="O9" sqref="O9"/>
    </sheetView>
  </sheetViews>
  <sheetFormatPr defaultRowHeight="13.8" x14ac:dyDescent="0.25"/>
  <cols>
    <col min="1" max="1" width="10.88671875" style="1" bestFit="1" customWidth="1"/>
    <col min="2" max="2" width="13.109375" style="1" customWidth="1"/>
    <col min="3" max="3" width="14" style="1" customWidth="1"/>
    <col min="4" max="5" width="14.109375" style="1" customWidth="1"/>
    <col min="6" max="6" width="14.33203125" style="1" bestFit="1" customWidth="1"/>
    <col min="7" max="7" width="8.88671875" style="1"/>
    <col min="8" max="8" width="14.109375" style="1" customWidth="1"/>
    <col min="9" max="9" width="15.5546875" style="1" bestFit="1" customWidth="1"/>
    <col min="10" max="10" width="10.77734375" style="1" bestFit="1" customWidth="1"/>
    <col min="11" max="16384" width="8.88671875" style="1"/>
  </cols>
  <sheetData>
    <row r="1" spans="1:11" ht="14.4" thickBot="1" x14ac:dyDescent="0.3">
      <c r="A1" s="120" t="s">
        <v>239</v>
      </c>
      <c r="B1" s="121"/>
      <c r="C1" s="121"/>
      <c r="D1" s="121"/>
      <c r="E1" s="121"/>
      <c r="F1" s="121"/>
    </row>
    <row r="2" spans="1:11" ht="14.4" thickBot="1" x14ac:dyDescent="0.3">
      <c r="A2" s="79" t="s">
        <v>240</v>
      </c>
      <c r="B2" s="79" t="s">
        <v>241</v>
      </c>
      <c r="C2" s="79" t="s">
        <v>242</v>
      </c>
      <c r="D2" s="79" t="s">
        <v>32</v>
      </c>
      <c r="E2" s="79" t="s">
        <v>106</v>
      </c>
      <c r="F2" s="80" t="s">
        <v>243</v>
      </c>
    </row>
    <row r="3" spans="1:11" ht="14.4" thickBot="1" x14ac:dyDescent="0.3">
      <c r="A3" s="81">
        <v>1</v>
      </c>
      <c r="B3" s="81" t="s">
        <v>244</v>
      </c>
      <c r="C3" s="81" t="s">
        <v>245</v>
      </c>
      <c r="D3" s="82">
        <v>4270</v>
      </c>
      <c r="E3" s="83">
        <v>42375</v>
      </c>
      <c r="F3" s="84" t="s">
        <v>246</v>
      </c>
      <c r="H3" s="1" t="s">
        <v>247</v>
      </c>
    </row>
    <row r="4" spans="1:11" ht="14.4" thickBot="1" x14ac:dyDescent="0.3">
      <c r="A4" s="85">
        <v>2</v>
      </c>
      <c r="B4" s="85" t="s">
        <v>248</v>
      </c>
      <c r="C4" s="85" t="s">
        <v>245</v>
      </c>
      <c r="D4" s="86">
        <v>8239</v>
      </c>
      <c r="E4" s="87">
        <v>42376</v>
      </c>
      <c r="F4" s="88" t="s">
        <v>249</v>
      </c>
      <c r="H4" s="17" t="s">
        <v>250</v>
      </c>
      <c r="I4" s="16">
        <f>COUNTIF(C3:C32,"fruit")</f>
        <v>18</v>
      </c>
      <c r="J4" s="17" t="s">
        <v>251</v>
      </c>
      <c r="K4" s="16">
        <f>COUNTIF(C3:C32,"vegetables")</f>
        <v>12</v>
      </c>
    </row>
    <row r="5" spans="1:11" ht="14.4" thickBot="1" x14ac:dyDescent="0.3">
      <c r="A5" s="81">
        <v>3</v>
      </c>
      <c r="B5" s="81" t="s">
        <v>252</v>
      </c>
      <c r="C5" s="81" t="s">
        <v>253</v>
      </c>
      <c r="D5" s="81">
        <v>617</v>
      </c>
      <c r="E5" s="83">
        <v>42377</v>
      </c>
      <c r="F5" s="84" t="s">
        <v>246</v>
      </c>
      <c r="H5" s="1" t="s">
        <v>254</v>
      </c>
    </row>
    <row r="6" spans="1:11" ht="14.4" thickBot="1" x14ac:dyDescent="0.3">
      <c r="A6" s="85">
        <v>4</v>
      </c>
      <c r="B6" s="85" t="s">
        <v>252</v>
      </c>
      <c r="C6" s="85" t="s">
        <v>253</v>
      </c>
      <c r="D6" s="86">
        <v>8384</v>
      </c>
      <c r="E6" s="87">
        <v>42379</v>
      </c>
      <c r="F6" s="88" t="s">
        <v>255</v>
      </c>
      <c r="H6" s="89" t="s">
        <v>241</v>
      </c>
      <c r="I6" s="90" t="s">
        <v>32</v>
      </c>
    </row>
    <row r="7" spans="1:11" ht="14.4" thickBot="1" x14ac:dyDescent="0.3">
      <c r="A7" s="81">
        <v>5</v>
      </c>
      <c r="B7" s="81" t="s">
        <v>256</v>
      </c>
      <c r="C7" s="81" t="s">
        <v>245</v>
      </c>
      <c r="D7" s="82">
        <v>2626</v>
      </c>
      <c r="E7" s="83">
        <v>42379</v>
      </c>
      <c r="F7" s="84" t="s">
        <v>257</v>
      </c>
      <c r="H7" s="91" t="s">
        <v>258</v>
      </c>
      <c r="I7" s="92">
        <f>SUMIF(B3:B32,"apple",D3:D32)</f>
        <v>25557</v>
      </c>
    </row>
    <row r="8" spans="1:11" ht="14.4" thickBot="1" x14ac:dyDescent="0.3">
      <c r="A8" s="85">
        <v>6</v>
      </c>
      <c r="B8" s="85" t="s">
        <v>259</v>
      </c>
      <c r="C8" s="85" t="s">
        <v>253</v>
      </c>
      <c r="D8" s="86">
        <v>3610</v>
      </c>
      <c r="E8" s="87">
        <v>42380</v>
      </c>
      <c r="F8" s="88" t="s">
        <v>246</v>
      </c>
      <c r="H8" s="93" t="s">
        <v>252</v>
      </c>
      <c r="I8" s="94">
        <f>SUMIF(B3:B32,"banana",D3:D32)</f>
        <v>38956</v>
      </c>
    </row>
    <row r="9" spans="1:11" ht="14.4" thickBot="1" x14ac:dyDescent="0.3">
      <c r="A9" s="81">
        <v>7</v>
      </c>
      <c r="B9" s="81" t="s">
        <v>248</v>
      </c>
      <c r="C9" s="81" t="s">
        <v>245</v>
      </c>
      <c r="D9" s="82">
        <v>9062</v>
      </c>
      <c r="E9" s="83">
        <v>42380</v>
      </c>
      <c r="F9" s="84" t="s">
        <v>260</v>
      </c>
      <c r="H9" s="1" t="s">
        <v>261</v>
      </c>
    </row>
    <row r="10" spans="1:11" ht="14.4" thickBot="1" x14ac:dyDescent="0.3">
      <c r="A10" s="85">
        <v>8</v>
      </c>
      <c r="B10" s="85" t="s">
        <v>252</v>
      </c>
      <c r="C10" s="85" t="s">
        <v>253</v>
      </c>
      <c r="D10" s="86">
        <v>6906</v>
      </c>
      <c r="E10" s="87">
        <v>42385</v>
      </c>
      <c r="F10" s="88" t="s">
        <v>262</v>
      </c>
      <c r="H10" s="17">
        <f>COUNTA(B3:B32)</f>
        <v>30</v>
      </c>
    </row>
    <row r="11" spans="1:11" ht="14.4" thickBot="1" x14ac:dyDescent="0.3">
      <c r="A11" s="81">
        <v>9</v>
      </c>
      <c r="B11" s="81" t="s">
        <v>258</v>
      </c>
      <c r="C11" s="81" t="s">
        <v>253</v>
      </c>
      <c r="D11" s="82">
        <v>2417</v>
      </c>
      <c r="E11" s="83">
        <v>42385</v>
      </c>
      <c r="F11" s="84" t="s">
        <v>263</v>
      </c>
      <c r="H11" s="1" t="s">
        <v>264</v>
      </c>
    </row>
    <row r="12" spans="1:11" ht="14.4" thickBot="1" x14ac:dyDescent="0.3">
      <c r="A12" s="85">
        <v>10</v>
      </c>
      <c r="B12" s="85" t="s">
        <v>258</v>
      </c>
      <c r="C12" s="85" t="s">
        <v>253</v>
      </c>
      <c r="D12" s="86">
        <v>7431</v>
      </c>
      <c r="E12" s="87">
        <v>42385</v>
      </c>
      <c r="F12" s="88" t="s">
        <v>255</v>
      </c>
      <c r="H12" s="89" t="s">
        <v>241</v>
      </c>
      <c r="I12" s="95" t="s">
        <v>243</v>
      </c>
      <c r="J12" s="90" t="s">
        <v>8</v>
      </c>
    </row>
    <row r="13" spans="1:11" ht="14.4" thickBot="1" x14ac:dyDescent="0.3">
      <c r="A13" s="81">
        <v>11</v>
      </c>
      <c r="B13" s="81" t="s">
        <v>252</v>
      </c>
      <c r="C13" s="81" t="s">
        <v>253</v>
      </c>
      <c r="D13" s="82">
        <v>8250</v>
      </c>
      <c r="E13" s="83">
        <v>42385</v>
      </c>
      <c r="F13" s="84" t="s">
        <v>257</v>
      </c>
      <c r="H13" s="40" t="s">
        <v>258</v>
      </c>
      <c r="I13" s="17" t="s">
        <v>255</v>
      </c>
      <c r="J13" s="92">
        <f>COUNTIFS(B3:B32,$H$13,F3:F32,$I$13)</f>
        <v>1</v>
      </c>
    </row>
    <row r="14" spans="1:11" ht="14.4" thickBot="1" x14ac:dyDescent="0.3">
      <c r="A14" s="85">
        <v>12</v>
      </c>
      <c r="B14" s="85" t="s">
        <v>248</v>
      </c>
      <c r="C14" s="85" t="s">
        <v>245</v>
      </c>
      <c r="D14" s="86">
        <v>7012</v>
      </c>
      <c r="E14" s="87">
        <v>42387</v>
      </c>
      <c r="F14" s="88" t="s">
        <v>246</v>
      </c>
      <c r="H14" s="40" t="s">
        <v>258</v>
      </c>
      <c r="I14" s="96" t="s">
        <v>249</v>
      </c>
      <c r="J14" s="92">
        <f>COUNTIFS(B3:B32,$H$14,F3:F32,$I$14)</f>
        <v>0</v>
      </c>
    </row>
    <row r="15" spans="1:11" ht="14.4" thickBot="1" x14ac:dyDescent="0.3">
      <c r="A15" s="81">
        <v>13</v>
      </c>
      <c r="B15" s="81" t="s">
        <v>244</v>
      </c>
      <c r="C15" s="81" t="s">
        <v>245</v>
      </c>
      <c r="D15" s="82">
        <v>1903</v>
      </c>
      <c r="E15" s="83">
        <v>42389</v>
      </c>
      <c r="F15" s="84" t="s">
        <v>257</v>
      </c>
      <c r="H15" s="40" t="s">
        <v>252</v>
      </c>
      <c r="I15" s="17" t="s">
        <v>255</v>
      </c>
      <c r="J15" s="92">
        <f>COUNTIFS(B3:B32,$H$15,F3:F32,$I$15)</f>
        <v>2</v>
      </c>
    </row>
    <row r="16" spans="1:11" ht="14.4" thickBot="1" x14ac:dyDescent="0.3">
      <c r="A16" s="85">
        <v>14</v>
      </c>
      <c r="B16" s="85" t="s">
        <v>248</v>
      </c>
      <c r="C16" s="85" t="s">
        <v>245</v>
      </c>
      <c r="D16" s="86">
        <v>2824</v>
      </c>
      <c r="E16" s="87">
        <v>42391</v>
      </c>
      <c r="F16" s="88" t="s">
        <v>255</v>
      </c>
      <c r="H16" s="97" t="s">
        <v>252</v>
      </c>
      <c r="I16" s="98" t="s">
        <v>249</v>
      </c>
      <c r="J16" s="94">
        <f>COUNTIFS(B3:B32,$H$16,F3:F32,$I$16)</f>
        <v>2</v>
      </c>
    </row>
    <row r="17" spans="1:10" ht="14.4" thickBot="1" x14ac:dyDescent="0.3">
      <c r="A17" s="81">
        <v>15</v>
      </c>
      <c r="B17" s="81" t="s">
        <v>258</v>
      </c>
      <c r="C17" s="81" t="s">
        <v>253</v>
      </c>
      <c r="D17" s="82">
        <v>6946</v>
      </c>
      <c r="E17" s="83">
        <v>42393</v>
      </c>
      <c r="F17" s="84" t="s">
        <v>263</v>
      </c>
    </row>
    <row r="18" spans="1:10" ht="14.4" thickBot="1" x14ac:dyDescent="0.3">
      <c r="A18" s="85">
        <v>16</v>
      </c>
      <c r="B18" s="85" t="s">
        <v>252</v>
      </c>
      <c r="C18" s="85" t="s">
        <v>253</v>
      </c>
      <c r="D18" s="86">
        <v>2320</v>
      </c>
      <c r="E18" s="87">
        <v>42396</v>
      </c>
      <c r="F18" s="88" t="s">
        <v>249</v>
      </c>
      <c r="H18" s="1" t="s">
        <v>265</v>
      </c>
    </row>
    <row r="19" spans="1:10" ht="14.4" thickBot="1" x14ac:dyDescent="0.3">
      <c r="A19" s="81">
        <v>17</v>
      </c>
      <c r="B19" s="81" t="s">
        <v>252</v>
      </c>
      <c r="C19" s="81" t="s">
        <v>253</v>
      </c>
      <c r="D19" s="82">
        <v>2116</v>
      </c>
      <c r="E19" s="83">
        <v>42397</v>
      </c>
      <c r="F19" s="84" t="s">
        <v>246</v>
      </c>
      <c r="H19" s="89" t="s">
        <v>241</v>
      </c>
      <c r="I19" s="95" t="s">
        <v>243</v>
      </c>
      <c r="J19" s="90" t="s">
        <v>32</v>
      </c>
    </row>
    <row r="20" spans="1:10" ht="14.4" thickBot="1" x14ac:dyDescent="0.3">
      <c r="A20" s="85">
        <v>18</v>
      </c>
      <c r="B20" s="85" t="s">
        <v>252</v>
      </c>
      <c r="C20" s="85" t="s">
        <v>253</v>
      </c>
      <c r="D20" s="86">
        <v>1135</v>
      </c>
      <c r="E20" s="87">
        <v>42399</v>
      </c>
      <c r="F20" s="88" t="s">
        <v>249</v>
      </c>
      <c r="H20" s="40" t="s">
        <v>258</v>
      </c>
      <c r="I20" s="17" t="s">
        <v>246</v>
      </c>
      <c r="J20" s="92">
        <f>SUMIFS(D3:D32,B3:B32,$H$20,F3:F32,$I$20)</f>
        <v>1161</v>
      </c>
    </row>
    <row r="21" spans="1:10" ht="14.4" thickBot="1" x14ac:dyDescent="0.3">
      <c r="A21" s="81">
        <v>19</v>
      </c>
      <c r="B21" s="81" t="s">
        <v>248</v>
      </c>
      <c r="C21" s="81" t="s">
        <v>245</v>
      </c>
      <c r="D21" s="82">
        <v>3595</v>
      </c>
      <c r="E21" s="83">
        <v>42399</v>
      </c>
      <c r="F21" s="84" t="s">
        <v>249</v>
      </c>
      <c r="H21" s="97" t="s">
        <v>252</v>
      </c>
      <c r="I21" s="42" t="s">
        <v>246</v>
      </c>
      <c r="J21" s="94">
        <f>SUMIFS(D3:D32,B3:B32,$H$21,F3:F32,$I$21)</f>
        <v>7315</v>
      </c>
    </row>
    <row r="22" spans="1:10" ht="14.4" thickBot="1" x14ac:dyDescent="0.3">
      <c r="A22" s="85">
        <v>20</v>
      </c>
      <c r="B22" s="85" t="s">
        <v>258</v>
      </c>
      <c r="C22" s="85" t="s">
        <v>253</v>
      </c>
      <c r="D22" s="86">
        <v>1161</v>
      </c>
      <c r="E22" s="87">
        <v>42402</v>
      </c>
      <c r="F22" s="88" t="s">
        <v>246</v>
      </c>
    </row>
    <row r="23" spans="1:10" ht="14.4" thickBot="1" x14ac:dyDescent="0.3">
      <c r="A23" s="81">
        <v>21</v>
      </c>
      <c r="B23" s="81" t="s">
        <v>259</v>
      </c>
      <c r="C23" s="81" t="s">
        <v>253</v>
      </c>
      <c r="D23" s="82">
        <v>2256</v>
      </c>
      <c r="E23" s="83">
        <v>42404</v>
      </c>
      <c r="F23" s="84" t="s">
        <v>263</v>
      </c>
    </row>
    <row r="24" spans="1:10" ht="14.4" thickBot="1" x14ac:dyDescent="0.3">
      <c r="A24" s="85">
        <v>22</v>
      </c>
      <c r="B24" s="85" t="s">
        <v>252</v>
      </c>
      <c r="C24" s="85" t="s">
        <v>253</v>
      </c>
      <c r="D24" s="86">
        <v>1004</v>
      </c>
      <c r="E24" s="87">
        <v>42411</v>
      </c>
      <c r="F24" s="88" t="s">
        <v>262</v>
      </c>
    </row>
    <row r="25" spans="1:10" ht="14.4" thickBot="1" x14ac:dyDescent="0.3">
      <c r="A25" s="81">
        <v>23</v>
      </c>
      <c r="B25" s="81" t="s">
        <v>252</v>
      </c>
      <c r="C25" s="81" t="s">
        <v>253</v>
      </c>
      <c r="D25" s="82">
        <v>3642</v>
      </c>
      <c r="E25" s="83">
        <v>42414</v>
      </c>
      <c r="F25" s="84" t="s">
        <v>255</v>
      </c>
    </row>
    <row r="26" spans="1:10" ht="14.4" thickBot="1" x14ac:dyDescent="0.3">
      <c r="A26" s="85">
        <v>24</v>
      </c>
      <c r="B26" s="85" t="s">
        <v>252</v>
      </c>
      <c r="C26" s="85" t="s">
        <v>253</v>
      </c>
      <c r="D26" s="86">
        <v>4582</v>
      </c>
      <c r="E26" s="87">
        <v>42417</v>
      </c>
      <c r="F26" s="88" t="s">
        <v>246</v>
      </c>
    </row>
    <row r="27" spans="1:10" ht="14.4" thickBot="1" x14ac:dyDescent="0.3">
      <c r="A27" s="81">
        <v>25</v>
      </c>
      <c r="B27" s="81" t="s">
        <v>256</v>
      </c>
      <c r="C27" s="81" t="s">
        <v>245</v>
      </c>
      <c r="D27" s="82">
        <v>3559</v>
      </c>
      <c r="E27" s="83">
        <v>42417</v>
      </c>
      <c r="F27" s="84" t="s">
        <v>249</v>
      </c>
    </row>
    <row r="28" spans="1:10" ht="14.4" thickBot="1" x14ac:dyDescent="0.3">
      <c r="A28" s="85">
        <v>26</v>
      </c>
      <c r="B28" s="85" t="s">
        <v>244</v>
      </c>
      <c r="C28" s="85" t="s">
        <v>245</v>
      </c>
      <c r="D28" s="86">
        <v>5154</v>
      </c>
      <c r="E28" s="87">
        <v>42417</v>
      </c>
      <c r="F28" s="88" t="s">
        <v>260</v>
      </c>
    </row>
    <row r="29" spans="1:10" ht="14.4" thickBot="1" x14ac:dyDescent="0.3">
      <c r="A29" s="81">
        <v>27</v>
      </c>
      <c r="B29" s="81" t="s">
        <v>266</v>
      </c>
      <c r="C29" s="81" t="s">
        <v>253</v>
      </c>
      <c r="D29" s="82">
        <v>7388</v>
      </c>
      <c r="E29" s="83">
        <v>42418</v>
      </c>
      <c r="F29" s="84" t="s">
        <v>263</v>
      </c>
    </row>
    <row r="30" spans="1:10" ht="14.4" thickBot="1" x14ac:dyDescent="0.3">
      <c r="A30" s="85">
        <v>28</v>
      </c>
      <c r="B30" s="85" t="s">
        <v>256</v>
      </c>
      <c r="C30" s="85" t="s">
        <v>245</v>
      </c>
      <c r="D30" s="86">
        <v>7163</v>
      </c>
      <c r="E30" s="87">
        <v>42418</v>
      </c>
      <c r="F30" s="88" t="s">
        <v>246</v>
      </c>
    </row>
    <row r="31" spans="1:10" ht="14.4" thickBot="1" x14ac:dyDescent="0.3">
      <c r="A31" s="81">
        <v>29</v>
      </c>
      <c r="B31" s="81" t="s">
        <v>256</v>
      </c>
      <c r="C31" s="81" t="s">
        <v>245</v>
      </c>
      <c r="D31" s="82">
        <v>5101</v>
      </c>
      <c r="E31" s="83">
        <v>42420</v>
      </c>
      <c r="F31" s="84" t="s">
        <v>257</v>
      </c>
    </row>
    <row r="32" spans="1:10" ht="14.4" thickBot="1" x14ac:dyDescent="0.3">
      <c r="A32" s="99">
        <v>30</v>
      </c>
      <c r="B32" s="99" t="s">
        <v>258</v>
      </c>
      <c r="C32" s="99" t="s">
        <v>253</v>
      </c>
      <c r="D32" s="100">
        <v>7602</v>
      </c>
      <c r="E32" s="101">
        <v>42421</v>
      </c>
      <c r="F32" s="102" t="s">
        <v>263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2026-02-05T10:04:22Z</dcterms:created>
  <dcterms:modified xsi:type="dcterms:W3CDTF">2026-02-05T12:13:34Z</dcterms:modified>
</cp:coreProperties>
</file>